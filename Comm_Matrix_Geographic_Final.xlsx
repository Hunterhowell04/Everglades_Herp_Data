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owell\Downloads\"/>
    </mc:Choice>
  </mc:AlternateContent>
  <xr:revisionPtr revIDLastSave="0" documentId="13_ncr:1_{5E9DCDD1-E83E-4C49-9208-6AB8690157C2}" xr6:coauthVersionLast="47" xr6:coauthVersionMax="47" xr10:uidLastSave="{00000000-0000-0000-0000-000000000000}"/>
  <bookViews>
    <workbookView xWindow="14715" yWindow="-16320" windowWidth="29040" windowHeight="15720" xr2:uid="{7FA2BA60-EC54-3245-B166-ACE93662895F}"/>
  </bookViews>
  <sheets>
    <sheet name="Standardized Variables " sheetId="2" r:id="rId1"/>
    <sheet name="Spatial_Autocorrelation_Resul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2" l="1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2" i="2"/>
  <c r="Z4" i="2" l="1"/>
  <c r="Z5" i="2"/>
  <c r="Z29" i="2"/>
  <c r="Z2" i="2"/>
  <c r="Z6" i="2"/>
  <c r="Z7" i="2"/>
  <c r="Z9" i="2"/>
  <c r="Z11" i="2"/>
  <c r="Z26" i="2"/>
  <c r="Z8" i="2"/>
  <c r="Z10" i="2"/>
  <c r="Z12" i="2"/>
  <c r="Z13" i="2"/>
  <c r="Z14" i="2"/>
  <c r="Z15" i="2"/>
  <c r="Z16" i="2"/>
  <c r="Z28" i="2"/>
  <c r="Z30" i="2"/>
  <c r="Z31" i="2"/>
  <c r="Z17" i="2"/>
  <c r="Z18" i="2"/>
  <c r="Z19" i="2"/>
  <c r="Z20" i="2"/>
  <c r="Z21" i="2"/>
  <c r="Z22" i="2"/>
  <c r="Z23" i="2"/>
  <c r="Z24" i="2"/>
  <c r="Z25" i="2"/>
  <c r="Z27" i="2"/>
  <c r="Z3" i="2"/>
</calcChain>
</file>

<file path=xl/sharedStrings.xml><?xml version="1.0" encoding="utf-8"?>
<sst xmlns="http://schemas.openxmlformats.org/spreadsheetml/2006/main" count="206" uniqueCount="111">
  <si>
    <t xml:space="preserve">SiteNumber </t>
  </si>
  <si>
    <t xml:space="preserve">WMA </t>
  </si>
  <si>
    <t xml:space="preserve">Region </t>
  </si>
  <si>
    <t xml:space="preserve">Habitat_Type </t>
  </si>
  <si>
    <t xml:space="preserve">Acris </t>
  </si>
  <si>
    <t xml:space="preserve">Hyla </t>
  </si>
  <si>
    <t xml:space="preserve">Pig </t>
  </si>
  <si>
    <t xml:space="preserve">SLF </t>
  </si>
  <si>
    <t xml:space="preserve">Ranid_Tads </t>
  </si>
  <si>
    <t>Bufo</t>
  </si>
  <si>
    <t xml:space="preserve">Gastrophyrne </t>
  </si>
  <si>
    <t xml:space="preserve">Grass Frog </t>
  </si>
  <si>
    <t xml:space="preserve">Amphiuma </t>
  </si>
  <si>
    <t>Siren</t>
  </si>
  <si>
    <t>Total_Amphib</t>
  </si>
  <si>
    <t>Total_Rept</t>
  </si>
  <si>
    <t>Total_Invert</t>
  </si>
  <si>
    <t>Total_Nat_Fish</t>
  </si>
  <si>
    <t>Total_Inv_Fish</t>
  </si>
  <si>
    <t>Total_Fish</t>
  </si>
  <si>
    <t xml:space="preserve">Temperature </t>
  </si>
  <si>
    <t>mmHg</t>
  </si>
  <si>
    <t xml:space="preserve">DO </t>
  </si>
  <si>
    <t>pH</t>
  </si>
  <si>
    <t>NO</t>
  </si>
  <si>
    <t xml:space="preserve">Hydrological_Variability </t>
  </si>
  <si>
    <t xml:space="preserve">Depth </t>
  </si>
  <si>
    <t xml:space="preserve">HumanDisturbance </t>
  </si>
  <si>
    <t xml:space="preserve">Soil_Nitrogen </t>
  </si>
  <si>
    <t>Long</t>
  </si>
  <si>
    <t>Lat</t>
  </si>
  <si>
    <t xml:space="preserve">LOX </t>
  </si>
  <si>
    <t xml:space="preserve">Prairie </t>
  </si>
  <si>
    <t>Sawgrass</t>
  </si>
  <si>
    <t xml:space="preserve">2A North </t>
  </si>
  <si>
    <t xml:space="preserve">2B South </t>
  </si>
  <si>
    <t xml:space="preserve">3A North </t>
  </si>
  <si>
    <t xml:space="preserve">3A South  </t>
  </si>
  <si>
    <t xml:space="preserve">3A South </t>
  </si>
  <si>
    <t xml:space="preserve">3B South </t>
  </si>
  <si>
    <t xml:space="preserve">ENP </t>
  </si>
  <si>
    <t>Shark</t>
  </si>
  <si>
    <t xml:space="preserve">Taylor </t>
  </si>
  <si>
    <t>Taylor</t>
  </si>
  <si>
    <t xml:space="preserve">Peat_Depth </t>
  </si>
  <si>
    <t xml:space="preserve">Soil_Phosphorous </t>
  </si>
  <si>
    <t>condc</t>
  </si>
  <si>
    <t>Total_Amphib_Count</t>
  </si>
  <si>
    <t>Eel_CPUE</t>
  </si>
  <si>
    <t xml:space="preserve">Eel_Count </t>
  </si>
  <si>
    <t xml:space="preserve">Julian Day </t>
  </si>
  <si>
    <t>VES</t>
  </si>
  <si>
    <t>AVS</t>
  </si>
  <si>
    <t>Traps</t>
  </si>
  <si>
    <t>Ln(VES)</t>
  </si>
  <si>
    <t>SQRT(Traps)</t>
  </si>
  <si>
    <t>Std(Eel)</t>
  </si>
  <si>
    <t>Julian_Day</t>
  </si>
  <si>
    <t>1_Residuals</t>
  </si>
  <si>
    <t>2_Residuals</t>
  </si>
  <si>
    <t>3_Residuals</t>
  </si>
  <si>
    <t>4_Residuals</t>
  </si>
  <si>
    <t>5_Residuals</t>
  </si>
  <si>
    <t>6_Residuals</t>
  </si>
  <si>
    <t>7_Residuals</t>
  </si>
  <si>
    <t>8_Residuals</t>
  </si>
  <si>
    <t>Outputs</t>
  </si>
  <si>
    <t>ResidualsA</t>
  </si>
  <si>
    <t>ResidualsB</t>
  </si>
  <si>
    <t>ResidualsC</t>
  </si>
  <si>
    <t>ResidualsD</t>
  </si>
  <si>
    <t>ResidualsE</t>
  </si>
  <si>
    <t>ResidualsF</t>
  </si>
  <si>
    <t>ResidualsG</t>
  </si>
  <si>
    <t>ResidualsH</t>
  </si>
  <si>
    <t xml:space="preserve">data:  Comm_Matrix_Geographic_Full$ResidualsA  </t>
  </si>
  <si>
    <t xml:space="preserve">weights: lw    </t>
  </si>
  <si>
    <t>alternative hypothesis: greater</t>
  </si>
  <si>
    <t>sample estimates:</t>
  </si>
  <si>
    <t xml:space="preserve">Moran I statistic       Expectation          Variance </t>
  </si>
  <si>
    <t>Moran I test under randomisation</t>
  </si>
  <si>
    <t xml:space="preserve">data:  Comm_Matrix_Geographic_Full$ResidualsB  </t>
  </si>
  <si>
    <t xml:space="preserve">data:  Comm_Matrix_Geographic_Full$ResidualsC  </t>
  </si>
  <si>
    <t xml:space="preserve">data:  Comm_Matrix_Geographic_Full$ResidualsD  </t>
  </si>
  <si>
    <t xml:space="preserve">data:  Comm_Matrix_Geographic_Full$ResidualsE  </t>
  </si>
  <si>
    <t xml:space="preserve">data:  Comm_Matrix_Geographic_Full$ResidualsF  </t>
  </si>
  <si>
    <t xml:space="preserve">data:  Comm_Matrix_Geographic_Full$ResidualsG  </t>
  </si>
  <si>
    <t xml:space="preserve">data:  Comm_Matrix_Geographic_Full$ResidualsH  </t>
  </si>
  <si>
    <t>Moran I statistic standard deviate = -0.32959, p-value = 0.6291</t>
  </si>
  <si>
    <t xml:space="preserve">     -0.050709809      -0.034482759       0.002424002 </t>
  </si>
  <si>
    <t>Moran I statistic standard deviate = -1.4842, p-value =</t>
  </si>
  <si>
    <t xml:space="preserve">     -0.107661577      -0.034482759       0.002431123 </t>
  </si>
  <si>
    <t>Moran I statistic standard deviate = -0.17991, p-value =</t>
  </si>
  <si>
    <t xml:space="preserve">     -0.043043738      -0.034482759       0.002264278 </t>
  </si>
  <si>
    <t>Moran I statistic standard deviate = 0.2407, p-value =</t>
  </si>
  <si>
    <t xml:space="preserve">     -0.022486341      -0.034482759       0.002484027 </t>
  </si>
  <si>
    <t>Moran I statistic standard deviate = -1.0541, p-value =</t>
  </si>
  <si>
    <t xml:space="preserve">      -0.08670182       -0.03448276        0.00245424 </t>
  </si>
  <si>
    <t>Moran I statistic standard deviate = -1.4895, p-value =</t>
  </si>
  <si>
    <t xml:space="preserve">     -0.107851447      -0.034482759       0.002426119 </t>
  </si>
  <si>
    <t>Moran I statistic standard deviate = -0.87564, p-value =</t>
  </si>
  <si>
    <t xml:space="preserve">     -0.077404994      -0.034482759       0.0024027</t>
  </si>
  <si>
    <t xml:space="preserve">     -0.077404994      -0.034482759       0.002402752 </t>
  </si>
  <si>
    <t>Amphiuma</t>
  </si>
  <si>
    <t>Grass Frog</t>
  </si>
  <si>
    <t>Gastrophryne</t>
  </si>
  <si>
    <t>Ranid_Tads</t>
  </si>
  <si>
    <t>SLF</t>
  </si>
  <si>
    <t>Pig</t>
  </si>
  <si>
    <t>Hyla</t>
  </si>
  <si>
    <t>Acris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</si>
</sst>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582A-27CC-D241-8EEA-CF8C07216A7C}">
  <dimension ref="A1:BK33"/>
  <sheetViews>
    <sheetView tabSelected="1" zoomScale="120" zoomScaleNormal="120" workbookViewId="0">
      <pane xSplit="1" topLeftCell="B1" activePane="topRight" state="frozen"/>
      <selection pane="topRight" activeCell="N15" sqref="N15"/>
    </sheetView>
  </sheetViews>
  <sheetFormatPr defaultColWidth="10.69921875" defaultRowHeight="15.6" x14ac:dyDescent="0.3"/>
  <cols>
    <col min="1" max="1" width="16.796875" customWidth="1"/>
    <col min="26" max="26" width="16.69921875" customWidth="1"/>
    <col min="27" max="31" width="10.69921875" style="6" customWidth="1"/>
    <col min="32" max="32" width="12.69921875" style="8" bestFit="1" customWidth="1"/>
    <col min="33" max="33" width="10.69921875" style="8" customWidth="1"/>
    <col min="34" max="34" width="10.796875" style="8"/>
    <col min="35" max="35" width="20.5" style="8" customWidth="1"/>
    <col min="36" max="36" width="10.796875" style="8"/>
    <col min="37" max="37" width="19.296875" style="8" customWidth="1"/>
    <col min="38" max="40" width="10.796875" style="8"/>
    <col min="41" max="42" width="10.69921875" style="8" customWidth="1"/>
    <col min="43" max="45" width="10.796875" style="8"/>
    <col min="46" max="47" width="10.796875" style="10"/>
    <col min="48" max="48" width="10.69921875" style="10"/>
    <col min="49" max="50" width="20.796875" customWidth="1"/>
    <col min="51" max="51" width="8"/>
    <col min="53" max="54" width="8"/>
  </cols>
  <sheetData>
    <row r="1" spans="1:6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110</v>
      </c>
      <c r="F1" s="2" t="s">
        <v>109</v>
      </c>
      <c r="G1" s="2" t="s">
        <v>108</v>
      </c>
      <c r="H1" s="2" t="s">
        <v>107</v>
      </c>
      <c r="I1" s="3" t="s">
        <v>106</v>
      </c>
      <c r="J1" s="1" t="s">
        <v>9</v>
      </c>
      <c r="K1" s="1" t="s">
        <v>105</v>
      </c>
      <c r="L1" s="1" t="s">
        <v>104</v>
      </c>
      <c r="M1" s="4" t="s">
        <v>103</v>
      </c>
      <c r="N1" s="4" t="s">
        <v>13</v>
      </c>
      <c r="O1" s="2" t="s">
        <v>4</v>
      </c>
      <c r="P1" s="2" t="s">
        <v>5</v>
      </c>
      <c r="Q1" s="2" t="s">
        <v>6</v>
      </c>
      <c r="R1" s="2" t="s">
        <v>7</v>
      </c>
      <c r="S1" s="3" t="s">
        <v>8</v>
      </c>
      <c r="T1" s="1" t="s">
        <v>9</v>
      </c>
      <c r="U1" s="1" t="s">
        <v>10</v>
      </c>
      <c r="V1" s="1" t="s">
        <v>11</v>
      </c>
      <c r="W1" s="4" t="s">
        <v>12</v>
      </c>
      <c r="X1" s="4" t="s">
        <v>13</v>
      </c>
      <c r="Y1" s="4" t="s">
        <v>47</v>
      </c>
      <c r="Z1" s="4" t="s">
        <v>14</v>
      </c>
      <c r="AA1" s="5" t="s">
        <v>15</v>
      </c>
      <c r="AB1" s="5" t="s">
        <v>16</v>
      </c>
      <c r="AC1" s="5" t="s">
        <v>17</v>
      </c>
      <c r="AD1" s="5" t="s">
        <v>18</v>
      </c>
      <c r="AE1" s="5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24</v>
      </c>
      <c r="AK1" s="7" t="s">
        <v>25</v>
      </c>
      <c r="AL1" s="7" t="s">
        <v>26</v>
      </c>
      <c r="AM1" s="7" t="s">
        <v>27</v>
      </c>
      <c r="AN1" s="7" t="s">
        <v>28</v>
      </c>
      <c r="AO1" s="7" t="s">
        <v>29</v>
      </c>
      <c r="AP1" s="7" t="s">
        <v>30</v>
      </c>
      <c r="AQ1" s="7" t="s">
        <v>46</v>
      </c>
      <c r="AR1" s="7" t="s">
        <v>44</v>
      </c>
      <c r="AS1" s="7" t="s">
        <v>45</v>
      </c>
      <c r="AT1" s="9" t="s">
        <v>49</v>
      </c>
      <c r="AU1" s="9" t="s">
        <v>48</v>
      </c>
      <c r="AV1" s="10" t="s">
        <v>56</v>
      </c>
      <c r="AW1" s="1" t="s">
        <v>50</v>
      </c>
      <c r="AX1" s="1" t="s">
        <v>57</v>
      </c>
      <c r="AY1" t="s">
        <v>51</v>
      </c>
      <c r="AZ1" t="s">
        <v>54</v>
      </c>
      <c r="BA1" t="s">
        <v>52</v>
      </c>
      <c r="BB1" t="s">
        <v>53</v>
      </c>
      <c r="BC1" s="1" t="s">
        <v>55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72</v>
      </c>
      <c r="BJ1" t="s">
        <v>73</v>
      </c>
      <c r="BK1" t="s">
        <v>74</v>
      </c>
    </row>
    <row r="2" spans="1:63" x14ac:dyDescent="0.3">
      <c r="A2">
        <v>0</v>
      </c>
      <c r="B2">
        <v>2</v>
      </c>
      <c r="C2" t="s">
        <v>34</v>
      </c>
      <c r="D2" t="s">
        <v>33</v>
      </c>
      <c r="E2">
        <v>9.0000000000000018</v>
      </c>
      <c r="F2">
        <v>33.999999999999993</v>
      </c>
      <c r="G2">
        <v>33.999999999999993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2.3025850929940459</v>
      </c>
      <c r="P2">
        <v>3.5553480614894135</v>
      </c>
      <c r="Q2">
        <v>3.5553480614894135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77</v>
      </c>
      <c r="Z2">
        <f t="shared" ref="Z2:Z31" si="0">LN(Y2)</f>
        <v>4.3438054218536841</v>
      </c>
      <c r="AA2" s="6">
        <v>1.9459101490553132</v>
      </c>
      <c r="AB2" s="6">
        <v>2.0794415416798357</v>
      </c>
      <c r="AC2" s="6">
        <v>1.9459101490553132</v>
      </c>
      <c r="AD2" s="6">
        <v>1.3862943611198906</v>
      </c>
      <c r="AE2" s="6">
        <v>2.3025850929940459</v>
      </c>
      <c r="AF2" s="8">
        <v>-0.31571654670235072</v>
      </c>
      <c r="AG2" s="8">
        <v>-2.1726232950561419</v>
      </c>
      <c r="AH2" s="8">
        <v>-1.2765855477629562</v>
      </c>
      <c r="AI2" s="8">
        <v>0.77737913020633365</v>
      </c>
      <c r="AJ2" s="8">
        <v>-0.61004503964019619</v>
      </c>
      <c r="AK2" s="8">
        <v>1.6230341868505447</v>
      </c>
      <c r="AL2" s="8">
        <v>0.21375815236093484</v>
      </c>
      <c r="AM2" s="8">
        <v>-0.4169911874763203</v>
      </c>
      <c r="AN2" s="8">
        <v>0.17591238291811648</v>
      </c>
      <c r="AO2">
        <v>-80.339493200000007</v>
      </c>
      <c r="AP2">
        <v>26.345891900000002</v>
      </c>
      <c r="AQ2" s="8">
        <v>1.6392660031906801</v>
      </c>
      <c r="AR2" s="8">
        <v>1.0934305719175954</v>
      </c>
      <c r="AS2" s="8">
        <v>-8.7520241978973234E-2</v>
      </c>
      <c r="AT2" s="10">
        <v>0</v>
      </c>
      <c r="AU2" s="10">
        <v>0</v>
      </c>
      <c r="AV2" s="10">
        <v>-0.89121338912133896</v>
      </c>
      <c r="AW2">
        <v>174</v>
      </c>
      <c r="AX2">
        <v>-1.2276786989102313</v>
      </c>
      <c r="AY2">
        <v>0</v>
      </c>
      <c r="AZ2">
        <f t="shared" ref="AZ2:AZ31" si="1">LN(AY2+1)</f>
        <v>0</v>
      </c>
      <c r="BA2">
        <v>75</v>
      </c>
      <c r="BB2">
        <v>2</v>
      </c>
      <c r="BC2">
        <f t="shared" ref="BC2:BC31" si="2">SQRT(BB2)</f>
        <v>1.4142135623730951</v>
      </c>
      <c r="BD2">
        <v>-9.8533094531254722E-2</v>
      </c>
      <c r="BE2">
        <v>-0.21732313334182649</v>
      </c>
      <c r="BF2">
        <v>-0.64297749201338972</v>
      </c>
      <c r="BG2">
        <v>-0.81699333452693357</v>
      </c>
      <c r="BH2">
        <v>0.54994863416263784</v>
      </c>
      <c r="BI2">
        <v>-7.1717421065954134E-2</v>
      </c>
      <c r="BJ2">
        <v>-0.60630259785249696</v>
      </c>
      <c r="BK2">
        <v>-0.60630259785249696</v>
      </c>
    </row>
    <row r="3" spans="1:63" x14ac:dyDescent="0.3">
      <c r="A3">
        <v>70</v>
      </c>
      <c r="B3">
        <v>1</v>
      </c>
      <c r="C3" t="s">
        <v>31</v>
      </c>
      <c r="D3" t="s">
        <v>32</v>
      </c>
      <c r="E3">
        <v>33.000000000000007</v>
      </c>
      <c r="F3">
        <v>23.999999999999996</v>
      </c>
      <c r="G3">
        <v>33.000000000000007</v>
      </c>
      <c r="H3">
        <v>6.9999999999999982</v>
      </c>
      <c r="I3">
        <v>0</v>
      </c>
      <c r="J3">
        <v>3.9999999999999991</v>
      </c>
      <c r="K3">
        <v>0</v>
      </c>
      <c r="L3">
        <v>0</v>
      </c>
      <c r="M3">
        <v>10.000000000000002</v>
      </c>
      <c r="N3">
        <v>2.0000000000000004</v>
      </c>
      <c r="O3">
        <v>3.5263605246161616</v>
      </c>
      <c r="P3">
        <v>3.2188758248682006</v>
      </c>
      <c r="Q3">
        <v>3.5263605246161616</v>
      </c>
      <c r="R3">
        <v>2.0794415416798357</v>
      </c>
      <c r="S3">
        <v>0</v>
      </c>
      <c r="T3">
        <v>1.6094379124341003</v>
      </c>
      <c r="U3">
        <v>0</v>
      </c>
      <c r="V3">
        <v>0</v>
      </c>
      <c r="W3">
        <v>2.3978952727983707</v>
      </c>
      <c r="X3">
        <v>1.0986122886681098</v>
      </c>
      <c r="Y3">
        <v>113</v>
      </c>
      <c r="Z3">
        <f t="shared" si="0"/>
        <v>4.7273878187123408</v>
      </c>
      <c r="AA3" s="6">
        <v>0</v>
      </c>
      <c r="AB3" s="6">
        <v>2.1972245773362196</v>
      </c>
      <c r="AC3" s="6">
        <v>2.1972245773362196</v>
      </c>
      <c r="AD3" s="6">
        <v>2.4849066497880004</v>
      </c>
      <c r="AE3" s="6">
        <v>2.9957322735539909</v>
      </c>
      <c r="AF3" s="8">
        <v>-1.1627609402940142</v>
      </c>
      <c r="AG3" s="8">
        <v>0.39761862123888142</v>
      </c>
      <c r="AH3" s="8">
        <v>-1.0563382242617312</v>
      </c>
      <c r="AI3" s="8">
        <v>-2.3610575888025678</v>
      </c>
      <c r="AJ3" s="8">
        <v>0.46667823905544176</v>
      </c>
      <c r="AK3" s="8">
        <v>-1.8870620110627203</v>
      </c>
      <c r="AL3" s="8">
        <v>0.21879976641700208</v>
      </c>
      <c r="AM3" s="8">
        <v>0.93198246159061571</v>
      </c>
      <c r="AN3" s="8">
        <v>1.6233465257451414</v>
      </c>
      <c r="AO3">
        <v>-80.289715529999995</v>
      </c>
      <c r="AP3">
        <v>26.478773619999998</v>
      </c>
      <c r="AQ3" s="8">
        <v>-1.4110510027641532</v>
      </c>
      <c r="AR3" s="8">
        <v>1.0934305719175954</v>
      </c>
      <c r="AS3" s="8">
        <v>-1.0115250029818506</v>
      </c>
      <c r="AT3" s="10">
        <v>0</v>
      </c>
      <c r="AU3" s="10">
        <v>0</v>
      </c>
      <c r="AV3" s="10">
        <v>-0.89121338912133896</v>
      </c>
      <c r="AW3">
        <v>171</v>
      </c>
      <c r="AX3">
        <v>-1.3545256860246608</v>
      </c>
      <c r="AY3">
        <v>7</v>
      </c>
      <c r="AZ3">
        <f t="shared" si="1"/>
        <v>2.0794415416798357</v>
      </c>
      <c r="BA3">
        <v>89</v>
      </c>
      <c r="BB3">
        <v>13</v>
      </c>
      <c r="BC3">
        <f t="shared" si="2"/>
        <v>3.6055512754639891</v>
      </c>
      <c r="BD3">
        <v>-0.38805880116276303</v>
      </c>
      <c r="BE3">
        <v>-5.9707616470991098E-2</v>
      </c>
      <c r="BF3">
        <v>0.26584460076428351</v>
      </c>
      <c r="BG3">
        <v>0.17110495241835577</v>
      </c>
      <c r="BH3">
        <v>-0.59499367877650233</v>
      </c>
      <c r="BI3">
        <v>-0.49317904362231413</v>
      </c>
      <c r="BJ3">
        <v>-0.38038236811933701</v>
      </c>
      <c r="BK3">
        <v>-0.38038236811933701</v>
      </c>
    </row>
    <row r="4" spans="1:63" x14ac:dyDescent="0.3">
      <c r="A4">
        <v>71</v>
      </c>
      <c r="B4">
        <v>1</v>
      </c>
      <c r="C4" t="s">
        <v>31</v>
      </c>
      <c r="D4" t="s">
        <v>32</v>
      </c>
      <c r="E4">
        <v>33.999999999999993</v>
      </c>
      <c r="F4">
        <v>30</v>
      </c>
      <c r="G4">
        <v>35</v>
      </c>
      <c r="H4">
        <v>8.0000000000000018</v>
      </c>
      <c r="I4">
        <v>0</v>
      </c>
      <c r="J4">
        <v>0</v>
      </c>
      <c r="K4">
        <v>0</v>
      </c>
      <c r="L4">
        <v>0</v>
      </c>
      <c r="M4">
        <v>10.000000000000002</v>
      </c>
      <c r="N4">
        <v>1</v>
      </c>
      <c r="O4">
        <v>3.5553480614894135</v>
      </c>
      <c r="P4">
        <v>3.4339872044851463</v>
      </c>
      <c r="Q4">
        <v>3.5835189384561099</v>
      </c>
      <c r="R4">
        <v>2.1972245773362196</v>
      </c>
      <c r="S4">
        <v>0</v>
      </c>
      <c r="T4">
        <v>0</v>
      </c>
      <c r="U4">
        <v>0</v>
      </c>
      <c r="V4">
        <v>0</v>
      </c>
      <c r="W4">
        <v>2.3978952727983707</v>
      </c>
      <c r="X4">
        <v>0.69314718055994529</v>
      </c>
      <c r="Y4">
        <v>118</v>
      </c>
      <c r="Z4">
        <f t="shared" si="0"/>
        <v>4.7706846244656651</v>
      </c>
      <c r="AA4" s="6">
        <v>1.0986122886681098</v>
      </c>
      <c r="AB4" s="6">
        <v>1.9459101490553132</v>
      </c>
      <c r="AC4" s="6">
        <v>1.6094379124341003</v>
      </c>
      <c r="AD4" s="6">
        <v>2.7080502011022101</v>
      </c>
      <c r="AE4" s="6">
        <v>2.9444389791664403</v>
      </c>
      <c r="AF4" s="8">
        <v>-1.3167690118561344</v>
      </c>
      <c r="AG4" s="8">
        <v>-0.72274323971023524</v>
      </c>
      <c r="AH4" s="8">
        <v>-1.21424675878822</v>
      </c>
      <c r="AI4" s="8">
        <v>-2.1034326982328957</v>
      </c>
      <c r="AJ4" s="8">
        <v>-0.30675653178518059</v>
      </c>
      <c r="AK4" s="8">
        <v>-1.8897333313937272</v>
      </c>
      <c r="AL4" s="8">
        <v>-0.12641878871990417</v>
      </c>
      <c r="AM4" s="8">
        <v>0.52994194433264363</v>
      </c>
      <c r="AN4" s="8">
        <v>1.8234544336690037</v>
      </c>
      <c r="AO4">
        <v>-80.266687709999999</v>
      </c>
      <c r="AP4">
        <v>26.479107769999999</v>
      </c>
      <c r="AQ4" s="8">
        <v>-1.3785764927292465</v>
      </c>
      <c r="AR4" s="8">
        <v>1.0934305719175954</v>
      </c>
      <c r="AS4" s="8">
        <v>-1.0466355641245959</v>
      </c>
      <c r="AT4" s="10">
        <v>0</v>
      </c>
      <c r="AU4" s="10">
        <v>0</v>
      </c>
      <c r="AV4" s="10">
        <v>-0.89121338912133896</v>
      </c>
      <c r="AW4">
        <v>172</v>
      </c>
      <c r="AX4">
        <v>-1.3124884719374634</v>
      </c>
      <c r="AY4">
        <v>6</v>
      </c>
      <c r="AZ4">
        <f t="shared" si="1"/>
        <v>1.9459101490553132</v>
      </c>
      <c r="BA4">
        <v>100</v>
      </c>
      <c r="BB4">
        <v>12</v>
      </c>
      <c r="BC4">
        <f t="shared" si="2"/>
        <v>3.4641016151377544</v>
      </c>
      <c r="BD4">
        <v>-0.21227902831066237</v>
      </c>
      <c r="BE4">
        <v>0.22266759000127956</v>
      </c>
      <c r="BF4">
        <v>0.25889777039526995</v>
      </c>
      <c r="BG4">
        <v>0.1103481103665066</v>
      </c>
      <c r="BH4">
        <v>-0.18611338557739865</v>
      </c>
      <c r="BI4">
        <v>5.5250175806675905E-2</v>
      </c>
      <c r="BJ4">
        <v>-6.9564076487039328E-2</v>
      </c>
      <c r="BK4">
        <v>-6.9564076487039328E-2</v>
      </c>
    </row>
    <row r="5" spans="1:63" x14ac:dyDescent="0.3">
      <c r="A5">
        <v>95</v>
      </c>
      <c r="B5">
        <v>1</v>
      </c>
      <c r="C5" t="s">
        <v>31</v>
      </c>
      <c r="D5" t="s">
        <v>33</v>
      </c>
      <c r="E5">
        <v>35.999999999999993</v>
      </c>
      <c r="F5">
        <v>32</v>
      </c>
      <c r="G5">
        <v>30</v>
      </c>
      <c r="H5">
        <v>10.000000000000002</v>
      </c>
      <c r="I5">
        <v>0</v>
      </c>
      <c r="J5">
        <v>0</v>
      </c>
      <c r="K5">
        <v>0</v>
      </c>
      <c r="L5">
        <v>0</v>
      </c>
      <c r="M5">
        <v>6.9999999999999982</v>
      </c>
      <c r="N5">
        <v>2.0000000000000004</v>
      </c>
      <c r="O5">
        <v>3.6109179126442243</v>
      </c>
      <c r="P5">
        <v>3.4965075614664802</v>
      </c>
      <c r="Q5">
        <v>3.4339872044851463</v>
      </c>
      <c r="R5">
        <v>2.3978952727983707</v>
      </c>
      <c r="S5">
        <v>0</v>
      </c>
      <c r="T5">
        <v>0</v>
      </c>
      <c r="U5">
        <v>0</v>
      </c>
      <c r="V5">
        <v>0</v>
      </c>
      <c r="W5">
        <v>2.0794415416798357</v>
      </c>
      <c r="X5">
        <v>1.0986122886681098</v>
      </c>
      <c r="Y5">
        <v>117</v>
      </c>
      <c r="Z5">
        <f t="shared" si="0"/>
        <v>4.7621739347977563</v>
      </c>
      <c r="AA5" s="6">
        <v>1.6094379124341003</v>
      </c>
      <c r="AB5" s="6">
        <v>2.4849066497880004</v>
      </c>
      <c r="AC5" s="6">
        <v>2.8903717578961645</v>
      </c>
      <c r="AD5" s="6">
        <v>3.2188758248682006</v>
      </c>
      <c r="AE5" s="6">
        <v>3.7376696182833684</v>
      </c>
      <c r="AF5" s="8">
        <v>-0.70073672560765299</v>
      </c>
      <c r="AG5" s="8">
        <v>0.46352226011817954</v>
      </c>
      <c r="AH5" s="8">
        <v>1.5630871303495257</v>
      </c>
      <c r="AI5" s="8">
        <v>-2.6034905085212428</v>
      </c>
      <c r="AJ5" s="8">
        <v>0.23798496290586704</v>
      </c>
      <c r="AK5" s="8">
        <v>-1.7016634973792257</v>
      </c>
      <c r="AL5" s="8">
        <v>0.69210660607731633</v>
      </c>
      <c r="AM5" s="8">
        <v>-1.1869918699186992</v>
      </c>
      <c r="AN5" s="8">
        <v>0.259176681443398</v>
      </c>
      <c r="AO5">
        <v>-80.427224190000004</v>
      </c>
      <c r="AP5">
        <v>26.451027580000002</v>
      </c>
      <c r="AQ5" s="8">
        <v>-1.4915511966534996</v>
      </c>
      <c r="AR5" s="8">
        <v>1.0934305719175954</v>
      </c>
      <c r="AS5" s="8">
        <v>0.2009248844013318</v>
      </c>
      <c r="AT5" s="10">
        <v>0</v>
      </c>
      <c r="AU5" s="10">
        <v>0</v>
      </c>
      <c r="AV5" s="10">
        <v>-0.89121338912133896</v>
      </c>
      <c r="AW5">
        <v>209</v>
      </c>
      <c r="AX5">
        <v>0.41520425980370934</v>
      </c>
      <c r="AY5">
        <v>13</v>
      </c>
      <c r="AZ5">
        <f t="shared" si="1"/>
        <v>2.6390573296152584</v>
      </c>
      <c r="BA5">
        <v>100</v>
      </c>
      <c r="BB5">
        <v>11</v>
      </c>
      <c r="BC5">
        <f t="shared" si="2"/>
        <v>3.3166247903553998</v>
      </c>
      <c r="BD5">
        <v>0.38327926691862868</v>
      </c>
      <c r="BE5">
        <v>-0.62004833443653973</v>
      </c>
      <c r="BF5">
        <v>0.29874127937254924</v>
      </c>
      <c r="BG5">
        <v>-0.12907451467575837</v>
      </c>
      <c r="BH5">
        <v>0.16110369856429907</v>
      </c>
      <c r="BI5">
        <v>-0.29850989931899785</v>
      </c>
      <c r="BJ5">
        <v>-0.15126416216222816</v>
      </c>
      <c r="BK5">
        <v>-0.15126416216222816</v>
      </c>
    </row>
    <row r="6" spans="1:63" x14ac:dyDescent="0.3">
      <c r="A6">
        <v>96</v>
      </c>
      <c r="B6">
        <v>2</v>
      </c>
      <c r="C6" t="s">
        <v>34</v>
      </c>
      <c r="D6" t="s">
        <v>32</v>
      </c>
      <c r="E6">
        <v>8.0000000000000018</v>
      </c>
      <c r="F6">
        <v>20</v>
      </c>
      <c r="G6">
        <v>37.999999999999993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2.1972245773362196</v>
      </c>
      <c r="P6">
        <v>3.044522437723423</v>
      </c>
      <c r="Q6">
        <v>3.6635616461296463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0.69314718055994529</v>
      </c>
      <c r="Y6">
        <v>67</v>
      </c>
      <c r="Z6">
        <f t="shared" si="0"/>
        <v>4.2046926193909657</v>
      </c>
      <c r="AA6" s="6">
        <v>0.69314718055994529</v>
      </c>
      <c r="AB6" s="6">
        <v>1.6094379124341003</v>
      </c>
      <c r="AC6" s="6">
        <v>2.9957322735539909</v>
      </c>
      <c r="AD6" s="6">
        <v>2.3025850929940459</v>
      </c>
      <c r="AE6" s="6">
        <v>3.3672958299864741</v>
      </c>
      <c r="AF6" s="8">
        <v>-1.4707770834182576</v>
      </c>
      <c r="AG6" s="8">
        <v>-1.6453941840212327</v>
      </c>
      <c r="AH6" s="8">
        <v>0.59027172117527493</v>
      </c>
      <c r="AI6" s="8">
        <v>1.1933267688048879</v>
      </c>
      <c r="AJ6" s="8">
        <v>-0.52269009724829862</v>
      </c>
      <c r="AK6" s="8">
        <v>1.8580844746348866</v>
      </c>
      <c r="AL6" s="8">
        <v>0.45972231375248768</v>
      </c>
      <c r="AM6" s="8">
        <v>-1.1869918699186992</v>
      </c>
      <c r="AN6" s="8">
        <v>0.27246923125622285</v>
      </c>
      <c r="AO6">
        <v>-80.451410409999994</v>
      </c>
      <c r="AP6">
        <v>26.45180762</v>
      </c>
      <c r="AQ6" s="8">
        <v>1.4837542649953521</v>
      </c>
      <c r="AR6" s="8">
        <v>1.0934305719175954</v>
      </c>
      <c r="AS6" s="8">
        <v>0.26733909295088099</v>
      </c>
      <c r="AT6" s="10">
        <v>0</v>
      </c>
      <c r="AU6" s="10">
        <v>0</v>
      </c>
      <c r="AV6" s="10">
        <v>-0.89121338912133896</v>
      </c>
      <c r="AW6">
        <v>178</v>
      </c>
      <c r="AX6">
        <v>-1.0551177734444179</v>
      </c>
      <c r="AY6">
        <v>0</v>
      </c>
      <c r="AZ6">
        <f t="shared" si="1"/>
        <v>0</v>
      </c>
      <c r="BA6">
        <v>58</v>
      </c>
      <c r="BB6">
        <v>1</v>
      </c>
      <c r="BC6">
        <f t="shared" si="2"/>
        <v>1</v>
      </c>
      <c r="BD6">
        <v>-0.34039587381587932</v>
      </c>
      <c r="BE6">
        <v>-0.21271932853403863</v>
      </c>
      <c r="BF6">
        <v>-0.58729239393160504</v>
      </c>
      <c r="BG6">
        <v>-0.76446794523343486</v>
      </c>
      <c r="BH6">
        <v>-6.0232347901025329E-2</v>
      </c>
      <c r="BI6">
        <v>-0.23770408552607336</v>
      </c>
      <c r="BJ6">
        <v>-4.1552548560762959E-2</v>
      </c>
      <c r="BK6">
        <v>-4.1552548560762959E-2</v>
      </c>
    </row>
    <row r="7" spans="1:63" x14ac:dyDescent="0.3">
      <c r="A7">
        <v>218</v>
      </c>
      <c r="B7">
        <v>2</v>
      </c>
      <c r="C7" t="s">
        <v>34</v>
      </c>
      <c r="D7" t="s">
        <v>32</v>
      </c>
      <c r="E7">
        <v>26.999999999999996</v>
      </c>
      <c r="F7">
        <v>30</v>
      </c>
      <c r="G7">
        <v>20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3</v>
      </c>
      <c r="O7">
        <v>3.3322045101752038</v>
      </c>
      <c r="P7">
        <v>3.4339872044851463</v>
      </c>
      <c r="Q7">
        <v>3.044522437723423</v>
      </c>
      <c r="R7">
        <v>0</v>
      </c>
      <c r="S7">
        <v>0</v>
      </c>
      <c r="T7">
        <v>0</v>
      </c>
      <c r="U7">
        <v>0</v>
      </c>
      <c r="V7">
        <v>0</v>
      </c>
      <c r="W7">
        <v>0.69314718055994529</v>
      </c>
      <c r="X7">
        <v>1.3862943611198906</v>
      </c>
      <c r="Y7">
        <v>81</v>
      </c>
      <c r="Z7">
        <f t="shared" si="0"/>
        <v>4.3944491546724391</v>
      </c>
      <c r="AA7" s="6">
        <v>0.69314718055994529</v>
      </c>
      <c r="AB7" s="6">
        <v>1.3862943611198906</v>
      </c>
      <c r="AC7" s="6">
        <v>0.69314718055994529</v>
      </c>
      <c r="AD7" s="6">
        <v>1.0986122886681098</v>
      </c>
      <c r="AE7" s="6">
        <v>1.3862943611198906</v>
      </c>
      <c r="AF7" s="8">
        <v>-1.3937730476371961</v>
      </c>
      <c r="AG7" s="8">
        <v>-2.3703342116941863</v>
      </c>
      <c r="AH7" s="8">
        <v>0.44379553653195075</v>
      </c>
      <c r="AI7" s="8">
        <v>1.2476990972481063</v>
      </c>
      <c r="AJ7" s="8">
        <v>-0.68562178755228764</v>
      </c>
      <c r="AK7" s="8">
        <v>1.0791559008736946</v>
      </c>
      <c r="AL7" s="8">
        <v>-0.17694542092412427</v>
      </c>
      <c r="AM7" s="8">
        <v>0.95886604555552835</v>
      </c>
      <c r="AN7" s="8">
        <v>0.69319022278880948</v>
      </c>
      <c r="AO7">
        <v>-80.427130610000006</v>
      </c>
      <c r="AP7">
        <v>26.311437850000001</v>
      </c>
      <c r="AQ7" s="8">
        <v>1.7078741229827368</v>
      </c>
      <c r="AR7" s="8">
        <v>1.0934305719175954</v>
      </c>
      <c r="AS7" s="8">
        <v>-6.9434996680426547E-2</v>
      </c>
      <c r="AT7" s="10">
        <v>0</v>
      </c>
      <c r="AU7" s="10">
        <v>0</v>
      </c>
      <c r="AV7" s="10">
        <v>-0.89121338912133896</v>
      </c>
      <c r="AW7">
        <v>226</v>
      </c>
      <c r="AX7">
        <v>1.3215167909256482</v>
      </c>
      <c r="AY7">
        <v>18</v>
      </c>
      <c r="AZ7">
        <f t="shared" si="1"/>
        <v>2.9444389791664403</v>
      </c>
      <c r="BA7">
        <v>59</v>
      </c>
      <c r="BB7">
        <v>4</v>
      </c>
      <c r="BC7">
        <f t="shared" si="2"/>
        <v>2</v>
      </c>
      <c r="BD7">
        <v>0.11225332792934675</v>
      </c>
      <c r="BE7">
        <v>-0.42921271316668785</v>
      </c>
      <c r="BF7">
        <v>2.1860826922186902</v>
      </c>
      <c r="BG7">
        <v>0.91756200164576851</v>
      </c>
      <c r="BH7">
        <v>-0.14488343880708976</v>
      </c>
      <c r="BI7">
        <v>-0.20092185473396446</v>
      </c>
      <c r="BJ7">
        <v>-1.6706641982871195E-2</v>
      </c>
      <c r="BK7">
        <v>-1.6706641982871195E-2</v>
      </c>
    </row>
    <row r="8" spans="1:63" x14ac:dyDescent="0.3">
      <c r="A8">
        <v>226</v>
      </c>
      <c r="B8">
        <v>3</v>
      </c>
      <c r="C8" t="s">
        <v>36</v>
      </c>
      <c r="D8" t="s">
        <v>33</v>
      </c>
      <c r="E8">
        <v>23.999999999999996</v>
      </c>
      <c r="F8">
        <v>26.999999999999996</v>
      </c>
      <c r="G8">
        <v>37.999999999999993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3.9999999999999991</v>
      </c>
      <c r="O8">
        <v>3.2188758248682006</v>
      </c>
      <c r="P8">
        <v>3.3322045101752038</v>
      </c>
      <c r="Q8">
        <v>3.6635616461296463</v>
      </c>
      <c r="R8">
        <v>1.791759469228055</v>
      </c>
      <c r="S8">
        <v>0</v>
      </c>
      <c r="T8">
        <v>0</v>
      </c>
      <c r="U8">
        <v>0</v>
      </c>
      <c r="V8">
        <v>0</v>
      </c>
      <c r="W8">
        <v>0</v>
      </c>
      <c r="X8">
        <v>1.6094379124341003</v>
      </c>
      <c r="Y8">
        <v>98</v>
      </c>
      <c r="Z8">
        <f t="shared" si="0"/>
        <v>4.5849674786705723</v>
      </c>
      <c r="AA8" s="6">
        <v>1.0986122886681098</v>
      </c>
      <c r="AB8" s="6">
        <v>4.219507705176107</v>
      </c>
      <c r="AC8" s="6">
        <v>2.0794415416798357</v>
      </c>
      <c r="AD8" s="6">
        <v>1.791759469228055</v>
      </c>
      <c r="AE8" s="6">
        <v>2.5649493574615367</v>
      </c>
      <c r="AF8" s="8">
        <v>-1.0857569045129554</v>
      </c>
      <c r="AG8" s="8">
        <v>0.79304045451496974</v>
      </c>
      <c r="AH8" s="8">
        <v>2.6932309377507544E-2</v>
      </c>
      <c r="AI8" s="8">
        <v>-1.2178036183475849</v>
      </c>
      <c r="AJ8" s="8">
        <v>1.2087044912832472</v>
      </c>
      <c r="AK8" s="8">
        <v>0.76755872757570887</v>
      </c>
      <c r="AL8" s="8">
        <v>-1.0192712646527631</v>
      </c>
      <c r="AM8" s="8">
        <v>-0.41915744728901877</v>
      </c>
      <c r="AN8" s="8">
        <v>0.62418860327615178</v>
      </c>
      <c r="AO8">
        <v>-80.618391149999994</v>
      </c>
      <c r="AP8">
        <v>26.317627760000001</v>
      </c>
      <c r="AQ8" s="8">
        <v>-1.2468489027284979</v>
      </c>
      <c r="AR8" s="8">
        <v>-0.57991661911419001</v>
      </c>
      <c r="AS8" s="8">
        <v>1.9500588568587622</v>
      </c>
      <c r="AT8" s="10">
        <v>0</v>
      </c>
      <c r="AU8" s="10">
        <v>0</v>
      </c>
      <c r="AV8" s="10">
        <v>-0.89121338912133896</v>
      </c>
      <c r="AW8">
        <v>179</v>
      </c>
      <c r="AX8">
        <v>-1.0113647547006002</v>
      </c>
      <c r="AY8">
        <v>1</v>
      </c>
      <c r="AZ8">
        <f t="shared" si="1"/>
        <v>0.69314718055994529</v>
      </c>
      <c r="BA8">
        <v>102</v>
      </c>
      <c r="BB8">
        <v>4</v>
      </c>
      <c r="BC8">
        <f t="shared" si="2"/>
        <v>2</v>
      </c>
      <c r="BD8">
        <v>-0.44407373356937485</v>
      </c>
      <c r="BE8">
        <v>0.20201486287656434</v>
      </c>
      <c r="BF8">
        <v>-1.4405955624620996</v>
      </c>
      <c r="BG8">
        <v>-0.87700971120028881</v>
      </c>
      <c r="BH8">
        <v>0.17174271045202461</v>
      </c>
      <c r="BI8">
        <v>0.8498595666007972</v>
      </c>
      <c r="BJ8">
        <v>-3.6020958063733399E-2</v>
      </c>
      <c r="BK8">
        <v>-3.6020958063733399E-2</v>
      </c>
    </row>
    <row r="9" spans="1:63" x14ac:dyDescent="0.3">
      <c r="A9">
        <v>291</v>
      </c>
      <c r="B9">
        <v>2</v>
      </c>
      <c r="C9" t="s">
        <v>35</v>
      </c>
      <c r="D9" t="s">
        <v>33</v>
      </c>
      <c r="E9">
        <v>23.000000000000004</v>
      </c>
      <c r="F9">
        <v>26.999999999999996</v>
      </c>
      <c r="G9">
        <v>30</v>
      </c>
      <c r="H9">
        <v>16.999999999999996</v>
      </c>
      <c r="I9">
        <v>0</v>
      </c>
      <c r="J9">
        <v>0</v>
      </c>
      <c r="K9">
        <v>2.0000000000000004</v>
      </c>
      <c r="L9">
        <v>6.9999999999999982</v>
      </c>
      <c r="M9">
        <v>0</v>
      </c>
      <c r="N9">
        <v>0</v>
      </c>
      <c r="O9">
        <v>3.1780538303479458</v>
      </c>
      <c r="P9">
        <v>3.3322045101752038</v>
      </c>
      <c r="Q9">
        <v>3.4339872044851463</v>
      </c>
      <c r="R9">
        <v>2.8903717578961645</v>
      </c>
      <c r="S9">
        <v>0</v>
      </c>
      <c r="T9">
        <v>0</v>
      </c>
      <c r="U9">
        <v>1.0986122886681098</v>
      </c>
      <c r="V9">
        <v>2.0794415416798357</v>
      </c>
      <c r="W9">
        <v>0</v>
      </c>
      <c r="X9">
        <v>0</v>
      </c>
      <c r="Y9">
        <v>106</v>
      </c>
      <c r="Z9">
        <f t="shared" si="0"/>
        <v>4.6634390941120669</v>
      </c>
      <c r="AA9" s="6">
        <v>0</v>
      </c>
      <c r="AB9" s="6">
        <v>0</v>
      </c>
      <c r="AC9" s="6">
        <v>2.1972245773362196</v>
      </c>
      <c r="AD9" s="6">
        <v>2.1972245773362196</v>
      </c>
      <c r="AE9" s="6">
        <v>2.8332133440562162</v>
      </c>
      <c r="AF9" s="8">
        <v>1.9174004909484041</v>
      </c>
      <c r="AG9" s="8">
        <v>-0.78864687858960825</v>
      </c>
      <c r="AH9" s="8">
        <v>0.90273027169827957</v>
      </c>
      <c r="AI9" s="8">
        <v>-0.12790565544618424</v>
      </c>
      <c r="AJ9" s="8">
        <v>0.4872900793951031</v>
      </c>
      <c r="AK9" s="8">
        <v>-0.12232937742827261</v>
      </c>
      <c r="AL9" s="8">
        <v>0.83086722519083211</v>
      </c>
      <c r="AM9" s="8">
        <v>-1.1869918699186992</v>
      </c>
      <c r="AN9" s="8">
        <v>-0.1445437929603734</v>
      </c>
      <c r="AO9">
        <v>-80.310464390000007</v>
      </c>
      <c r="AP9">
        <v>26.227804930000001</v>
      </c>
      <c r="AQ9" s="8">
        <v>-0.13997123674998593</v>
      </c>
      <c r="AR9" s="8">
        <v>1.0934305719175954</v>
      </c>
      <c r="AS9" s="8">
        <v>1.495343810834584</v>
      </c>
      <c r="AT9" s="10">
        <v>0</v>
      </c>
      <c r="AU9" s="10">
        <v>0</v>
      </c>
      <c r="AV9" s="10">
        <v>-0.89121338912133896</v>
      </c>
      <c r="AW9">
        <v>167</v>
      </c>
      <c r="AX9">
        <v>-1.5202233928639932</v>
      </c>
      <c r="AY9">
        <v>8</v>
      </c>
      <c r="AZ9">
        <f t="shared" si="1"/>
        <v>2.1972245773362196</v>
      </c>
      <c r="BA9">
        <v>92</v>
      </c>
      <c r="BB9">
        <v>1</v>
      </c>
      <c r="BC9">
        <f t="shared" si="2"/>
        <v>1</v>
      </c>
      <c r="BD9">
        <v>1.0730573225479496</v>
      </c>
      <c r="BE9">
        <v>4.0467692852851789E-2</v>
      </c>
      <c r="BF9">
        <v>0.48508513417809918</v>
      </c>
      <c r="BG9">
        <v>1.0103040554681804</v>
      </c>
      <c r="BH9">
        <v>0.6802470938716032</v>
      </c>
      <c r="BI9">
        <v>-0.38060564650191842</v>
      </c>
      <c r="BJ9">
        <v>-0.26756565776133007</v>
      </c>
      <c r="BK9">
        <v>-0.26756565776133007</v>
      </c>
    </row>
    <row r="10" spans="1:63" x14ac:dyDescent="0.3">
      <c r="A10">
        <v>356</v>
      </c>
      <c r="B10">
        <v>3</v>
      </c>
      <c r="C10" t="s">
        <v>36</v>
      </c>
      <c r="D10" t="s">
        <v>32</v>
      </c>
      <c r="E10">
        <v>16.999999999999996</v>
      </c>
      <c r="F10">
        <v>62.999999999999979</v>
      </c>
      <c r="G10">
        <v>26</v>
      </c>
      <c r="H10">
        <v>2.0000000000000004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2.8903717578961645</v>
      </c>
      <c r="P10">
        <v>4.1588830833596715</v>
      </c>
      <c r="Q10">
        <v>3.2958368660043291</v>
      </c>
      <c r="R10">
        <v>1.0986122886681098</v>
      </c>
      <c r="S10">
        <v>0</v>
      </c>
      <c r="T10">
        <v>0</v>
      </c>
      <c r="U10">
        <v>0</v>
      </c>
      <c r="V10">
        <v>0</v>
      </c>
      <c r="W10">
        <v>0</v>
      </c>
      <c r="X10">
        <v>0.69314718055994529</v>
      </c>
      <c r="Y10">
        <v>109</v>
      </c>
      <c r="Z10">
        <f t="shared" si="0"/>
        <v>4.6913478822291435</v>
      </c>
      <c r="AA10" s="6">
        <v>2.3025850929940459</v>
      </c>
      <c r="AB10" s="6">
        <v>2.3025850929940459</v>
      </c>
      <c r="AC10" s="6">
        <v>1.6094379124341003</v>
      </c>
      <c r="AD10" s="6">
        <v>1.9459101490553132</v>
      </c>
      <c r="AE10" s="6">
        <v>2.3978952727983707</v>
      </c>
      <c r="AF10" s="8">
        <v>-0.77774076138871184</v>
      </c>
      <c r="AG10" s="8">
        <v>0.92484773227371575</v>
      </c>
      <c r="AH10" s="8">
        <v>-0.16542265912125925</v>
      </c>
      <c r="AI10" s="8">
        <v>0.53381183604741522</v>
      </c>
      <c r="AJ10" s="8">
        <v>-0.77788431097743793</v>
      </c>
      <c r="AK10" s="8">
        <v>0.96956321696853298</v>
      </c>
      <c r="AL10" s="8">
        <v>-0.24463627483889763</v>
      </c>
      <c r="AM10" s="8">
        <v>-0.41915744728901877</v>
      </c>
      <c r="AN10" s="8">
        <v>-0.44923457751372309</v>
      </c>
      <c r="AO10">
        <v>-80.695541520000006</v>
      </c>
      <c r="AP10">
        <v>26.208248919999999</v>
      </c>
      <c r="AQ10" s="8">
        <v>0.70162169936590757</v>
      </c>
      <c r="AR10" s="8">
        <v>-0.65959981868713224</v>
      </c>
      <c r="AS10" s="8">
        <v>0.6321095579346766</v>
      </c>
      <c r="AT10" s="10">
        <v>0</v>
      </c>
      <c r="AU10" s="10">
        <v>0</v>
      </c>
      <c r="AV10" s="10">
        <v>-0.89121338912133896</v>
      </c>
      <c r="AW10">
        <v>228</v>
      </c>
      <c r="AX10">
        <v>1.4327989786550224</v>
      </c>
      <c r="AY10">
        <v>45</v>
      </c>
      <c r="AZ10">
        <f t="shared" si="1"/>
        <v>3.8286413964890951</v>
      </c>
      <c r="BA10">
        <v>63</v>
      </c>
      <c r="BB10">
        <v>1</v>
      </c>
      <c r="BC10">
        <f t="shared" si="2"/>
        <v>1</v>
      </c>
      <c r="BD10">
        <v>1.3848082207365346</v>
      </c>
      <c r="BE10">
        <v>0.50582063380606201</v>
      </c>
      <c r="BF10">
        <v>2.4812929967097155</v>
      </c>
      <c r="BG10">
        <v>1.4542007092357832</v>
      </c>
      <c r="BH10">
        <v>0.17759298781494182</v>
      </c>
      <c r="BI10">
        <v>-1.2387271682683818E-2</v>
      </c>
      <c r="BJ10">
        <v>-0.44179207063193549</v>
      </c>
      <c r="BK10">
        <v>-0.44179207063193549</v>
      </c>
    </row>
    <row r="11" spans="1:63" x14ac:dyDescent="0.3">
      <c r="A11">
        <v>367</v>
      </c>
      <c r="B11">
        <v>2</v>
      </c>
      <c r="C11" t="s">
        <v>35</v>
      </c>
      <c r="D11" t="s">
        <v>33</v>
      </c>
      <c r="E11">
        <v>37.999999999999993</v>
      </c>
      <c r="F11">
        <v>23.000000000000004</v>
      </c>
      <c r="G11">
        <v>37.999999999999993</v>
      </c>
      <c r="H11">
        <v>1</v>
      </c>
      <c r="I11">
        <v>3</v>
      </c>
      <c r="J11">
        <v>0</v>
      </c>
      <c r="K11">
        <v>0</v>
      </c>
      <c r="L11">
        <v>0</v>
      </c>
      <c r="M11">
        <v>2.0000000000000004</v>
      </c>
      <c r="N11">
        <v>2.0000000000000004</v>
      </c>
      <c r="O11">
        <v>3.6635616461296463</v>
      </c>
      <c r="P11">
        <v>3.1780538303479458</v>
      </c>
      <c r="Q11">
        <v>3.6635616461296463</v>
      </c>
      <c r="R11">
        <v>0.69314718055994529</v>
      </c>
      <c r="S11">
        <v>1.3862943611198906</v>
      </c>
      <c r="T11">
        <v>0</v>
      </c>
      <c r="U11">
        <v>0</v>
      </c>
      <c r="V11">
        <v>0</v>
      </c>
      <c r="W11">
        <v>1.0986122886681098</v>
      </c>
      <c r="X11">
        <v>1.0986122886681098</v>
      </c>
      <c r="Y11">
        <v>107</v>
      </c>
      <c r="Z11">
        <f t="shared" si="0"/>
        <v>4.6728288344619058</v>
      </c>
      <c r="AA11" s="6">
        <v>1.3862943611198906</v>
      </c>
      <c r="AB11" s="6">
        <v>2.6390573296152584</v>
      </c>
      <c r="AC11" s="6">
        <v>1.3862943611198906</v>
      </c>
      <c r="AD11" s="6">
        <v>0</v>
      </c>
      <c r="AE11" s="6">
        <v>1.3862943611198906</v>
      </c>
      <c r="AF11" s="8">
        <v>-1.3937730476371961</v>
      </c>
      <c r="AG11" s="8">
        <v>2.1967879627181938E-3</v>
      </c>
      <c r="AH11" s="8">
        <v>-0.28169625325088543</v>
      </c>
      <c r="AI11" s="8">
        <v>-0.20887049951629191</v>
      </c>
      <c r="AJ11" s="8">
        <v>2.400265166156998</v>
      </c>
      <c r="AK11" s="8">
        <v>-7.8584984673855954E-2</v>
      </c>
      <c r="AL11" s="8">
        <v>-0.39916744780946944</v>
      </c>
      <c r="AM11" s="8">
        <v>-1.1869918699186992</v>
      </c>
      <c r="AN11" s="8">
        <v>0.19557075021911222</v>
      </c>
      <c r="AO11">
        <v>-80.403433899999996</v>
      </c>
      <c r="AP11">
        <v>26.216614060000001</v>
      </c>
      <c r="AQ11" s="8">
        <v>0.91659380804768464</v>
      </c>
      <c r="AR11" s="8">
        <v>1.0934305719175954</v>
      </c>
      <c r="AS11" s="8">
        <v>-0.55792704876181376</v>
      </c>
      <c r="AT11" s="10">
        <v>0</v>
      </c>
      <c r="AU11" s="10">
        <v>0</v>
      </c>
      <c r="AV11" s="10">
        <v>-0.89121338912133896</v>
      </c>
      <c r="AW11">
        <v>166</v>
      </c>
      <c r="AX11">
        <v>-1.5610350321964617</v>
      </c>
      <c r="AY11">
        <v>4</v>
      </c>
      <c r="AZ11">
        <f t="shared" si="1"/>
        <v>1.6094379124341003</v>
      </c>
      <c r="BA11">
        <v>90</v>
      </c>
      <c r="BB11">
        <v>13</v>
      </c>
      <c r="BC11">
        <f t="shared" si="2"/>
        <v>3.6055512754639891</v>
      </c>
      <c r="BD11">
        <v>0.85026348808946783</v>
      </c>
      <c r="BE11">
        <v>0.68650971132256911</v>
      </c>
      <c r="BF11">
        <v>0.55785820842179035</v>
      </c>
      <c r="BG11">
        <v>0.4744790941730273</v>
      </c>
      <c r="BH11">
        <v>0.84596734516776462</v>
      </c>
      <c r="BI11">
        <v>0.41121742624538271</v>
      </c>
      <c r="BJ11">
        <v>0.99571837739521629</v>
      </c>
      <c r="BK11">
        <v>0.99571837739521629</v>
      </c>
    </row>
    <row r="12" spans="1:63" x14ac:dyDescent="0.3">
      <c r="A12">
        <v>490</v>
      </c>
      <c r="B12">
        <v>3</v>
      </c>
      <c r="C12" t="s">
        <v>37</v>
      </c>
      <c r="D12" t="s">
        <v>32</v>
      </c>
      <c r="E12">
        <v>28.000000000000004</v>
      </c>
      <c r="F12">
        <v>21.000000000000004</v>
      </c>
      <c r="G12">
        <v>28.000000000000004</v>
      </c>
      <c r="H12">
        <v>0</v>
      </c>
      <c r="I12">
        <v>0</v>
      </c>
      <c r="J12">
        <v>0</v>
      </c>
      <c r="K12">
        <v>0</v>
      </c>
      <c r="L12">
        <v>5.9999999999999991</v>
      </c>
      <c r="M12">
        <v>0</v>
      </c>
      <c r="N12">
        <v>0</v>
      </c>
      <c r="O12">
        <v>3.3672958299864741</v>
      </c>
      <c r="P12">
        <v>3.0910424533583161</v>
      </c>
      <c r="Q12">
        <v>3.3672958299864741</v>
      </c>
      <c r="R12">
        <v>0</v>
      </c>
      <c r="S12">
        <v>0</v>
      </c>
      <c r="T12">
        <v>0</v>
      </c>
      <c r="U12">
        <v>0</v>
      </c>
      <c r="V12">
        <v>1.9459101490553132</v>
      </c>
      <c r="W12">
        <v>0</v>
      </c>
      <c r="X12">
        <v>0</v>
      </c>
      <c r="Y12">
        <v>83</v>
      </c>
      <c r="Z12">
        <f t="shared" si="0"/>
        <v>4.4188406077965983</v>
      </c>
      <c r="AA12" s="6">
        <v>0.69314718055994529</v>
      </c>
      <c r="AB12" s="6">
        <v>3.4339872044851463</v>
      </c>
      <c r="AC12" s="6">
        <v>1.0986122886681098</v>
      </c>
      <c r="AD12" s="6">
        <v>2.0794415416798357</v>
      </c>
      <c r="AE12" s="6">
        <v>2.3025850929940459</v>
      </c>
      <c r="AF12" s="8">
        <v>1.1473601331377996</v>
      </c>
      <c r="AG12" s="8">
        <v>-0.52503232307219105</v>
      </c>
      <c r="AH12" s="8">
        <v>1.5233138343577746</v>
      </c>
      <c r="AI12" s="8">
        <v>0.98119402762775532</v>
      </c>
      <c r="AJ12" s="8">
        <v>0.78272645759691428</v>
      </c>
      <c r="AK12" s="8">
        <v>0.61245752359250016</v>
      </c>
      <c r="AL12" s="8">
        <v>0.55063414637029096</v>
      </c>
      <c r="AM12" s="8">
        <v>0.98477640364711216</v>
      </c>
      <c r="AN12" s="8">
        <v>0.36490739760399887</v>
      </c>
      <c r="AO12">
        <v>-80.710749849999999</v>
      </c>
      <c r="AP12">
        <v>26.074160119999998</v>
      </c>
      <c r="AQ12" s="8">
        <v>0.25795585804394194</v>
      </c>
      <c r="AR12" s="8">
        <v>-1.004893683503215</v>
      </c>
      <c r="AS12" s="8">
        <v>1.2360805644140922</v>
      </c>
      <c r="AT12" s="10">
        <v>0</v>
      </c>
      <c r="AU12" s="10">
        <v>0</v>
      </c>
      <c r="AV12" s="10">
        <v>-0.89121338912133896</v>
      </c>
      <c r="AW12">
        <v>186</v>
      </c>
      <c r="AX12">
        <v>-0.69823040486739485</v>
      </c>
      <c r="AY12">
        <v>1</v>
      </c>
      <c r="AZ12">
        <f t="shared" si="1"/>
        <v>0.69314718055994529</v>
      </c>
      <c r="BA12">
        <v>75</v>
      </c>
      <c r="BB12">
        <v>1</v>
      </c>
      <c r="BC12">
        <f t="shared" si="2"/>
        <v>1</v>
      </c>
      <c r="BD12">
        <v>0.36855441183956894</v>
      </c>
      <c r="BE12">
        <v>0.15718868236784034</v>
      </c>
      <c r="BF12">
        <v>-0.34708840352613218</v>
      </c>
      <c r="BG12">
        <v>-0.35175342716995961</v>
      </c>
      <c r="BH12">
        <v>0.24182159423879215</v>
      </c>
      <c r="BI12">
        <v>0.17440016532405306</v>
      </c>
      <c r="BJ12">
        <v>4.8631459236027075E-2</v>
      </c>
      <c r="BK12">
        <v>4.8631459236027075E-2</v>
      </c>
    </row>
    <row r="13" spans="1:63" x14ac:dyDescent="0.3">
      <c r="A13">
        <v>513</v>
      </c>
      <c r="B13">
        <v>3</v>
      </c>
      <c r="C13" t="s">
        <v>38</v>
      </c>
      <c r="D13" t="s">
        <v>32</v>
      </c>
      <c r="E13">
        <v>12</v>
      </c>
      <c r="F13">
        <v>26.999999999999996</v>
      </c>
      <c r="G13">
        <v>14.999999999999998</v>
      </c>
      <c r="H13">
        <v>0</v>
      </c>
      <c r="I13">
        <v>0</v>
      </c>
      <c r="J13">
        <v>0</v>
      </c>
      <c r="K13">
        <v>0</v>
      </c>
      <c r="L13">
        <v>0</v>
      </c>
      <c r="M13">
        <v>10.000000000000002</v>
      </c>
      <c r="N13">
        <v>0</v>
      </c>
      <c r="O13">
        <v>2.5649493574615367</v>
      </c>
      <c r="P13">
        <v>3.3322045101752038</v>
      </c>
      <c r="Q13">
        <v>2.7725887222397811</v>
      </c>
      <c r="R13">
        <v>0</v>
      </c>
      <c r="S13">
        <v>0</v>
      </c>
      <c r="T13">
        <v>0</v>
      </c>
      <c r="U13">
        <v>0</v>
      </c>
      <c r="V13">
        <v>0</v>
      </c>
      <c r="W13">
        <v>2.3978952727983707</v>
      </c>
      <c r="X13">
        <v>0</v>
      </c>
      <c r="Y13">
        <v>64</v>
      </c>
      <c r="Z13">
        <f t="shared" si="0"/>
        <v>4.1588830833596715</v>
      </c>
      <c r="AA13" s="6">
        <v>0</v>
      </c>
      <c r="AB13" s="6">
        <v>2.5649493574615367</v>
      </c>
      <c r="AC13" s="6">
        <v>0</v>
      </c>
      <c r="AD13" s="6">
        <v>0</v>
      </c>
      <c r="AE13" s="6">
        <v>0</v>
      </c>
      <c r="AF13" s="8">
        <v>1.30136820469992</v>
      </c>
      <c r="AG13" s="8">
        <v>0.66123317675629856</v>
      </c>
      <c r="AH13" s="8">
        <v>-1.3846755150336838</v>
      </c>
      <c r="AI13" s="8">
        <v>-4.5305213030806556E-2</v>
      </c>
      <c r="AJ13" s="8">
        <v>1.9212852573115362</v>
      </c>
      <c r="AK13" s="8">
        <v>0.76094372276436251</v>
      </c>
      <c r="AL13" s="8">
        <v>2.9236029711641192</v>
      </c>
      <c r="AM13" s="8">
        <v>-1.1869918699186992</v>
      </c>
      <c r="AN13" s="8">
        <v>0.14939818027241511</v>
      </c>
      <c r="AO13">
        <v>-80.51855578</v>
      </c>
      <c r="AP13">
        <v>26.0336131</v>
      </c>
      <c r="AQ13" s="8">
        <v>1.2779299056191824</v>
      </c>
      <c r="AR13" s="8">
        <v>-1.2173822156977274</v>
      </c>
      <c r="AS13" s="8">
        <v>0.55215161591694795</v>
      </c>
      <c r="AT13" s="10">
        <v>0.69314718055994529</v>
      </c>
      <c r="AU13" s="10">
        <v>1.8349138668196617E-2</v>
      </c>
      <c r="AV13" s="10">
        <v>-0.32443936162998754</v>
      </c>
      <c r="AW13">
        <v>194</v>
      </c>
      <c r="AX13">
        <v>-0.32565567942984319</v>
      </c>
      <c r="AY13">
        <v>0</v>
      </c>
      <c r="AZ13">
        <f t="shared" si="1"/>
        <v>0</v>
      </c>
      <c r="BA13">
        <v>42</v>
      </c>
      <c r="BB13">
        <v>10</v>
      </c>
      <c r="BC13">
        <f t="shared" si="2"/>
        <v>3.1622776601683795</v>
      </c>
      <c r="BD13">
        <v>-0.6865025870974687</v>
      </c>
      <c r="BE13">
        <v>-0.49338095396304837</v>
      </c>
      <c r="BF13">
        <v>-1.1670264148901488</v>
      </c>
      <c r="BG13">
        <v>-1.0684720772637377</v>
      </c>
      <c r="BH13">
        <v>-1.1018449130711132</v>
      </c>
      <c r="BI13">
        <v>-1.1117536441111582</v>
      </c>
      <c r="BJ13">
        <v>0.48560135397588</v>
      </c>
      <c r="BK13">
        <v>0.48560135397588</v>
      </c>
    </row>
    <row r="14" spans="1:63" x14ac:dyDescent="0.3">
      <c r="A14">
        <v>593</v>
      </c>
      <c r="B14">
        <v>3</v>
      </c>
      <c r="C14" t="s">
        <v>39</v>
      </c>
      <c r="D14" t="s">
        <v>33</v>
      </c>
      <c r="E14">
        <v>11</v>
      </c>
      <c r="F14">
        <v>25.000000000000004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2.4849066497880004</v>
      </c>
      <c r="P14">
        <v>3.2580965380214821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0.69314718055994529</v>
      </c>
      <c r="X14">
        <v>0</v>
      </c>
      <c r="Y14">
        <v>37</v>
      </c>
      <c r="Z14">
        <f t="shared" si="0"/>
        <v>3.6109179126442243</v>
      </c>
      <c r="AA14" s="6">
        <v>1.0986122886681098</v>
      </c>
      <c r="AB14" s="6">
        <v>0</v>
      </c>
      <c r="AC14" s="6">
        <v>0</v>
      </c>
      <c r="AD14" s="6">
        <v>2.6390573296152584</v>
      </c>
      <c r="AE14" s="6">
        <v>2.6390573296152584</v>
      </c>
      <c r="AF14" s="8">
        <v>0.22331170376507467</v>
      </c>
      <c r="AG14" s="8">
        <v>-0.32732140643407198</v>
      </c>
      <c r="AH14" s="8">
        <v>1.5175714073558846</v>
      </c>
      <c r="AI14" s="8">
        <v>0.62977985851010621</v>
      </c>
      <c r="AJ14" s="8">
        <v>0.70714970968482305</v>
      </c>
      <c r="AK14" s="8">
        <v>-0.96610420377779915</v>
      </c>
      <c r="AL14" s="8">
        <v>0.48144292990065884</v>
      </c>
      <c r="AM14" s="8">
        <v>0.34868127953225414</v>
      </c>
      <c r="AN14" s="8">
        <v>-0.3916532505010375</v>
      </c>
      <c r="AO14">
        <v>-80.536904870000001</v>
      </c>
      <c r="AP14">
        <v>25.91337407</v>
      </c>
      <c r="AQ14" s="8">
        <v>0.60557033165702845</v>
      </c>
      <c r="AR14" s="8">
        <v>-7.5256355152223023E-2</v>
      </c>
      <c r="AS14" s="8">
        <v>1.266850033503188</v>
      </c>
      <c r="AT14" s="10">
        <v>2.9957322735539909</v>
      </c>
      <c r="AU14" s="10">
        <v>0.30147539458411676</v>
      </c>
      <c r="AV14" s="10">
        <v>1.4061412152715602</v>
      </c>
      <c r="AW14">
        <v>201</v>
      </c>
      <c r="AX14">
        <v>1.3215740252666785E-2</v>
      </c>
      <c r="AY14">
        <v>0</v>
      </c>
      <c r="AZ14">
        <f t="shared" si="1"/>
        <v>0</v>
      </c>
      <c r="BA14">
        <v>36</v>
      </c>
      <c r="BB14">
        <v>1</v>
      </c>
      <c r="BC14">
        <f t="shared" si="2"/>
        <v>1</v>
      </c>
      <c r="BD14">
        <v>-0.43383277355026129</v>
      </c>
      <c r="BE14">
        <v>0.10092266888037016</v>
      </c>
      <c r="BF14">
        <v>-1.1194617545759304</v>
      </c>
      <c r="BG14">
        <v>0.11049016128355582</v>
      </c>
      <c r="BH14">
        <v>-0.96137461127229673</v>
      </c>
      <c r="BI14">
        <v>-0.14315332706831274</v>
      </c>
      <c r="BJ14">
        <v>-0.49499197247345961</v>
      </c>
      <c r="BK14">
        <v>-0.49499197247345961</v>
      </c>
    </row>
    <row r="15" spans="1:63" x14ac:dyDescent="0.3">
      <c r="A15">
        <v>621</v>
      </c>
      <c r="B15">
        <v>3</v>
      </c>
      <c r="C15" t="s">
        <v>38</v>
      </c>
      <c r="D15" t="s">
        <v>32</v>
      </c>
      <c r="E15">
        <v>26.999999999999996</v>
      </c>
      <c r="F15">
        <v>23.999999999999996</v>
      </c>
      <c r="G15">
        <v>22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2.0000000000000004</v>
      </c>
      <c r="O15">
        <v>3.3322045101752038</v>
      </c>
      <c r="P15">
        <v>3.2188758248682006</v>
      </c>
      <c r="Q15">
        <v>3.1354942159291497</v>
      </c>
      <c r="R15">
        <v>0</v>
      </c>
      <c r="S15">
        <v>0</v>
      </c>
      <c r="T15">
        <v>0</v>
      </c>
      <c r="U15">
        <v>0</v>
      </c>
      <c r="V15">
        <v>0</v>
      </c>
      <c r="W15">
        <v>0.69314718055994529</v>
      </c>
      <c r="X15">
        <v>1.0986122886681098</v>
      </c>
      <c r="Y15">
        <v>76</v>
      </c>
      <c r="Z15">
        <f t="shared" si="0"/>
        <v>4.3307333402863311</v>
      </c>
      <c r="AA15" s="6">
        <v>2.3025850929940459</v>
      </c>
      <c r="AB15" s="6">
        <v>2.3978952727983707</v>
      </c>
      <c r="AC15" s="6">
        <v>1.0986122886681098</v>
      </c>
      <c r="AD15" s="6">
        <v>2.1972245773362196</v>
      </c>
      <c r="AE15" s="6">
        <v>2.3978952727983707</v>
      </c>
      <c r="AF15" s="8">
        <v>0.76233995423249734</v>
      </c>
      <c r="AG15" s="8">
        <v>1.0566550100324619</v>
      </c>
      <c r="AH15" s="8">
        <v>-5.5114499148033132E-2</v>
      </c>
      <c r="AI15" s="8">
        <v>-0.69745117851470528</v>
      </c>
      <c r="AJ15" s="8">
        <v>1.0379206713260538</v>
      </c>
      <c r="AK15" s="8">
        <v>-0.81073324139038927</v>
      </c>
      <c r="AL15" s="8">
        <v>1.6354053239569382</v>
      </c>
      <c r="AM15" s="8">
        <v>0.93198246159061571</v>
      </c>
      <c r="AN15" s="8">
        <v>0.7184348058753377</v>
      </c>
      <c r="AO15">
        <v>-80.702526120000002</v>
      </c>
      <c r="AP15">
        <v>25.877096959999999</v>
      </c>
      <c r="AQ15" s="8">
        <v>-1.0698399536649921</v>
      </c>
      <c r="AR15" s="8">
        <v>0.56220924143131423</v>
      </c>
      <c r="AS15" s="8">
        <v>-0.54160856495819065</v>
      </c>
      <c r="AT15" s="10">
        <v>2.1972245773362196</v>
      </c>
      <c r="AU15" s="10">
        <v>0.13815033848081718</v>
      </c>
      <c r="AV15" s="10">
        <v>0.66395734783726545</v>
      </c>
      <c r="AW15">
        <v>199</v>
      </c>
      <c r="AX15">
        <v>-8.483024012563628E-2</v>
      </c>
      <c r="AY15">
        <v>2</v>
      </c>
      <c r="AZ15">
        <f t="shared" si="1"/>
        <v>1.0986122886681098</v>
      </c>
      <c r="BA15">
        <v>70</v>
      </c>
      <c r="BB15">
        <v>4</v>
      </c>
      <c r="BC15">
        <f t="shared" si="2"/>
        <v>2</v>
      </c>
      <c r="BD15">
        <v>-0.52484991138505577</v>
      </c>
      <c r="BE15">
        <v>3.0222826345858045E-2</v>
      </c>
      <c r="BF15">
        <v>-0.1005668685244384</v>
      </c>
      <c r="BG15">
        <v>0.26437044704353296</v>
      </c>
      <c r="BH15">
        <v>-0.34575822097275088</v>
      </c>
      <c r="BI15">
        <v>-9.8831111733812566E-2</v>
      </c>
      <c r="BJ15">
        <v>7.7067288460391792E-3</v>
      </c>
      <c r="BK15">
        <v>7.7067288460391792E-3</v>
      </c>
    </row>
    <row r="16" spans="1:63" x14ac:dyDescent="0.3">
      <c r="A16">
        <v>665</v>
      </c>
      <c r="B16">
        <v>3</v>
      </c>
      <c r="C16" t="s">
        <v>39</v>
      </c>
      <c r="D16" t="s">
        <v>33</v>
      </c>
      <c r="E16">
        <v>16</v>
      </c>
      <c r="F16">
        <v>21.000000000000004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2.8332133440562162</v>
      </c>
      <c r="P16">
        <v>3.0910424533583161</v>
      </c>
      <c r="Q16">
        <v>1.3862943611198906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40</v>
      </c>
      <c r="Z16">
        <f t="shared" si="0"/>
        <v>3.6888794541139363</v>
      </c>
      <c r="AA16" s="6">
        <v>1.6094379124341003</v>
      </c>
      <c r="AB16" s="6">
        <v>0</v>
      </c>
      <c r="AC16" s="6">
        <v>1.9459101490553132</v>
      </c>
      <c r="AD16" s="6">
        <v>1.6094379124341003</v>
      </c>
      <c r="AE16" s="6">
        <v>2.3978952727983707</v>
      </c>
      <c r="AF16" s="8">
        <v>1.2243641689188585</v>
      </c>
      <c r="AG16" s="8">
        <v>0.39761862123888142</v>
      </c>
      <c r="AH16" s="8">
        <v>0.95564599385354898</v>
      </c>
      <c r="AI16" s="8">
        <v>0.87826753839772653</v>
      </c>
      <c r="AJ16" s="8">
        <v>0.88676717550187134</v>
      </c>
      <c r="AK16" s="8">
        <v>-0.33915504454762524</v>
      </c>
      <c r="AL16" s="8">
        <v>0.22333811039232332</v>
      </c>
      <c r="AM16" s="8">
        <v>0.52994194433264363</v>
      </c>
      <c r="AN16" s="8">
        <v>0.18214422281336137</v>
      </c>
      <c r="AO16">
        <v>-80.540252910000007</v>
      </c>
      <c r="AP16">
        <v>25.800036970000001</v>
      </c>
      <c r="AQ16" s="8">
        <v>-0.6481287106764847</v>
      </c>
      <c r="AR16" s="8">
        <v>1.0934305719175954</v>
      </c>
      <c r="AS16" s="8">
        <v>0.19599189043659079</v>
      </c>
      <c r="AT16" s="10">
        <v>2.9957322735539909</v>
      </c>
      <c r="AU16" s="10">
        <v>0.30147539458411676</v>
      </c>
      <c r="AV16" s="10">
        <v>1.4061412152715602</v>
      </c>
      <c r="AW16">
        <v>200</v>
      </c>
      <c r="AX16">
        <v>-3.5929807411957622E-2</v>
      </c>
      <c r="AY16">
        <v>2</v>
      </c>
      <c r="AZ16">
        <f t="shared" si="1"/>
        <v>1.0986122886681098</v>
      </c>
      <c r="BA16">
        <v>38</v>
      </c>
      <c r="BB16">
        <v>0</v>
      </c>
      <c r="BC16">
        <f t="shared" si="2"/>
        <v>0</v>
      </c>
      <c r="BD16">
        <v>-0.72546327412993417</v>
      </c>
      <c r="BE16">
        <v>-0.17559977516534664</v>
      </c>
      <c r="BF16">
        <v>0.29757196577577993</v>
      </c>
      <c r="BG16">
        <v>1.1927330674550738</v>
      </c>
      <c r="BH16">
        <v>-0.85851102481698083</v>
      </c>
      <c r="BI16">
        <v>-0.56206501853628732</v>
      </c>
      <c r="BJ16">
        <v>-2.1233817693069312E-3</v>
      </c>
      <c r="BK16">
        <v>-2.1233817693069312E-3</v>
      </c>
    </row>
    <row r="17" spans="1:63" x14ac:dyDescent="0.3">
      <c r="A17">
        <v>697</v>
      </c>
      <c r="B17" t="s">
        <v>40</v>
      </c>
      <c r="C17" t="s">
        <v>41</v>
      </c>
      <c r="D17" t="s">
        <v>32</v>
      </c>
      <c r="E17">
        <v>18.999999999999996</v>
      </c>
      <c r="F17">
        <v>18.999999999999996</v>
      </c>
      <c r="G17">
        <v>16</v>
      </c>
      <c r="H17">
        <v>0</v>
      </c>
      <c r="I17">
        <v>0</v>
      </c>
      <c r="J17">
        <v>2.0000000000000004</v>
      </c>
      <c r="K17">
        <v>0</v>
      </c>
      <c r="L17">
        <v>0</v>
      </c>
      <c r="M17">
        <v>1</v>
      </c>
      <c r="N17">
        <v>0</v>
      </c>
      <c r="O17">
        <v>2.9957322735539909</v>
      </c>
      <c r="P17">
        <v>2.9957322735539909</v>
      </c>
      <c r="Q17">
        <v>2.8332133440562162</v>
      </c>
      <c r="R17">
        <v>0</v>
      </c>
      <c r="S17">
        <v>0</v>
      </c>
      <c r="T17">
        <v>1.0986122886681098</v>
      </c>
      <c r="U17">
        <v>0</v>
      </c>
      <c r="V17">
        <v>0</v>
      </c>
      <c r="W17">
        <v>0.69314718055994529</v>
      </c>
      <c r="X17">
        <v>0</v>
      </c>
      <c r="Y17">
        <v>57</v>
      </c>
      <c r="Z17">
        <f t="shared" si="0"/>
        <v>4.0430512678345503</v>
      </c>
      <c r="AA17" s="6">
        <v>0</v>
      </c>
      <c r="AB17" s="6">
        <v>1.6094379124341003</v>
      </c>
      <c r="AC17" s="6">
        <v>1.9459101490553132</v>
      </c>
      <c r="AD17" s="6">
        <v>1.791759469228055</v>
      </c>
      <c r="AE17" s="6">
        <v>2.4849066497880004</v>
      </c>
      <c r="AF17" s="8">
        <v>-0.16170847514022763</v>
      </c>
      <c r="AG17" s="8">
        <v>0.52942589899755255</v>
      </c>
      <c r="AH17" s="8">
        <v>-1.9378429665757746</v>
      </c>
      <c r="AI17" s="8">
        <v>0.62977985851010621</v>
      </c>
      <c r="AJ17" s="8">
        <v>-1.3079030625687276</v>
      </c>
      <c r="AK17" s="8">
        <v>1.0395611587027669</v>
      </c>
      <c r="AL17" s="8">
        <v>0.77422430883887294</v>
      </c>
      <c r="AM17" s="8">
        <v>-1.1869918699186992</v>
      </c>
      <c r="AN17" s="8">
        <v>-0.47693343331985977</v>
      </c>
      <c r="AO17">
        <v>-80.674571330000006</v>
      </c>
      <c r="AP17">
        <v>25.727421450000001</v>
      </c>
      <c r="AQ17" s="8">
        <v>0.65130907818506611</v>
      </c>
      <c r="AR17" s="8">
        <v>-0.73928301826007436</v>
      </c>
      <c r="AS17" s="8">
        <v>-0.41953824875764612</v>
      </c>
      <c r="AT17" s="10">
        <v>2.5649493574615367</v>
      </c>
      <c r="AU17" s="10">
        <v>0.18805223150293962</v>
      </c>
      <c r="AV17" s="10">
        <v>0.92322131832657506</v>
      </c>
      <c r="AW17">
        <v>219</v>
      </c>
      <c r="AX17">
        <v>0.93975025482763075</v>
      </c>
      <c r="AY17">
        <v>0</v>
      </c>
      <c r="AZ17">
        <f t="shared" si="1"/>
        <v>0</v>
      </c>
      <c r="BA17">
        <v>54</v>
      </c>
      <c r="BB17">
        <v>1</v>
      </c>
      <c r="BC17">
        <f t="shared" si="2"/>
        <v>1</v>
      </c>
      <c r="BD17">
        <v>-0.28014047104139128</v>
      </c>
      <c r="BE17">
        <v>0.34325609952806779</v>
      </c>
      <c r="BF17">
        <v>-0.59914923518453345</v>
      </c>
      <c r="BG17">
        <v>-0.5843390421219723</v>
      </c>
      <c r="BH17">
        <v>0.11712824281889589</v>
      </c>
      <c r="BI17">
        <v>0.54500883045242099</v>
      </c>
      <c r="BJ17">
        <v>-1.2253575278929785E-2</v>
      </c>
      <c r="BK17">
        <v>-1.2253575278929785E-2</v>
      </c>
    </row>
    <row r="18" spans="1:63" x14ac:dyDescent="0.3">
      <c r="A18">
        <v>708</v>
      </c>
      <c r="B18" t="s">
        <v>40</v>
      </c>
      <c r="C18" t="s">
        <v>41</v>
      </c>
      <c r="D18" t="s">
        <v>33</v>
      </c>
      <c r="E18">
        <v>22</v>
      </c>
      <c r="F18">
        <v>17.999999999999996</v>
      </c>
      <c r="G18">
        <v>16.999999999999996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2.0000000000000004</v>
      </c>
      <c r="O18">
        <v>3.1354942159291497</v>
      </c>
      <c r="P18">
        <v>2.9444389791664403</v>
      </c>
      <c r="Q18">
        <v>2.8903717578961645</v>
      </c>
      <c r="R18">
        <v>0</v>
      </c>
      <c r="S18">
        <v>0</v>
      </c>
      <c r="T18">
        <v>0</v>
      </c>
      <c r="U18">
        <v>0</v>
      </c>
      <c r="V18">
        <v>0</v>
      </c>
      <c r="W18">
        <v>1.3862943611198906</v>
      </c>
      <c r="X18">
        <v>1.0986122886681098</v>
      </c>
      <c r="Y18">
        <v>62</v>
      </c>
      <c r="Z18">
        <f t="shared" si="0"/>
        <v>4.1271343850450917</v>
      </c>
      <c r="AA18" s="6">
        <v>1.0986122886681098</v>
      </c>
      <c r="AB18" s="6">
        <v>0.69314718055994529</v>
      </c>
      <c r="AC18" s="6">
        <v>0.69314718055994529</v>
      </c>
      <c r="AD18" s="6">
        <v>0</v>
      </c>
      <c r="AE18" s="6">
        <v>0.69314718055994529</v>
      </c>
      <c r="AF18" s="8">
        <v>0.99335206157567923</v>
      </c>
      <c r="AG18" s="8">
        <v>0.52942589899755255</v>
      </c>
      <c r="AH18" s="8">
        <v>-0.24223573998594641</v>
      </c>
      <c r="AI18" s="8">
        <v>0.3021234589974266</v>
      </c>
      <c r="AJ18" s="8">
        <v>-0.91824112852846462</v>
      </c>
      <c r="AK18" s="8">
        <v>-0.56583604711923219</v>
      </c>
      <c r="AL18" s="8">
        <v>-9.0001408453408996E-2</v>
      </c>
      <c r="AM18" s="8">
        <v>-0.10110697225582765</v>
      </c>
      <c r="AN18" s="8">
        <v>-0.27489234140512131</v>
      </c>
      <c r="AO18">
        <v>-80.576060130000002</v>
      </c>
      <c r="AP18">
        <v>25.739903510000001</v>
      </c>
      <c r="AQ18" s="8">
        <v>0.61014420630983213</v>
      </c>
      <c r="AR18" s="8">
        <v>-0.65959981868713224</v>
      </c>
      <c r="AS18" s="8">
        <v>0.76446388543956334</v>
      </c>
      <c r="AT18" s="10">
        <v>2.5649493574615367</v>
      </c>
      <c r="AU18" s="10">
        <v>0.18805223150293962</v>
      </c>
      <c r="AV18" s="10">
        <v>0.92322131832657506</v>
      </c>
      <c r="AW18">
        <v>218</v>
      </c>
      <c r="AX18">
        <v>0.88619263804598269</v>
      </c>
      <c r="AY18">
        <v>6</v>
      </c>
      <c r="AZ18">
        <f t="shared" si="1"/>
        <v>1.9459101490553132</v>
      </c>
      <c r="BA18">
        <v>51</v>
      </c>
      <c r="BB18">
        <v>5</v>
      </c>
      <c r="BC18">
        <f t="shared" si="2"/>
        <v>2.2360679774997898</v>
      </c>
      <c r="BD18">
        <v>4.2959018652581893E-2</v>
      </c>
      <c r="BE18">
        <v>0.15431037239840201</v>
      </c>
      <c r="BF18">
        <v>0.65535008946562912</v>
      </c>
      <c r="BG18">
        <v>1.0901666094351408</v>
      </c>
      <c r="BH18">
        <v>-0.47080057813155241</v>
      </c>
      <c r="BI18">
        <v>-2.3712014461527486E-2</v>
      </c>
      <c r="BJ18">
        <v>0.33513888779986695</v>
      </c>
      <c r="BK18">
        <v>0.33513888779986695</v>
      </c>
    </row>
    <row r="19" spans="1:63" x14ac:dyDescent="0.3">
      <c r="A19">
        <v>719</v>
      </c>
      <c r="B19" t="s">
        <v>40</v>
      </c>
      <c r="C19" t="s">
        <v>41</v>
      </c>
      <c r="D19" t="s">
        <v>33</v>
      </c>
      <c r="E19">
        <v>11</v>
      </c>
      <c r="F19">
        <v>18.999999999999996</v>
      </c>
      <c r="G19">
        <v>21.000000000000004</v>
      </c>
      <c r="H19">
        <v>0</v>
      </c>
      <c r="I19">
        <v>0</v>
      </c>
      <c r="J19">
        <v>0</v>
      </c>
      <c r="K19">
        <v>6.9999999999999982</v>
      </c>
      <c r="L19">
        <v>0</v>
      </c>
      <c r="M19">
        <v>0</v>
      </c>
      <c r="N19">
        <v>0</v>
      </c>
      <c r="O19">
        <v>2.4849066497880004</v>
      </c>
      <c r="P19">
        <v>2.9957322735539909</v>
      </c>
      <c r="Q19">
        <v>3.0910424533583161</v>
      </c>
      <c r="R19">
        <v>0</v>
      </c>
      <c r="S19">
        <v>0</v>
      </c>
      <c r="T19">
        <v>0</v>
      </c>
      <c r="U19">
        <v>2.0794415416798357</v>
      </c>
      <c r="V19">
        <v>0</v>
      </c>
      <c r="W19">
        <v>0</v>
      </c>
      <c r="X19">
        <v>0</v>
      </c>
      <c r="Y19">
        <v>58</v>
      </c>
      <c r="Z19">
        <f t="shared" si="0"/>
        <v>4.0604430105464191</v>
      </c>
      <c r="AA19" s="6">
        <v>1.6094379124341003</v>
      </c>
      <c r="AB19" s="6">
        <v>0</v>
      </c>
      <c r="AC19" s="6">
        <v>2.3025850929940459</v>
      </c>
      <c r="AD19" s="6">
        <v>2.0794415416798357</v>
      </c>
      <c r="AE19" s="6">
        <v>2.8332133440562162</v>
      </c>
      <c r="AF19" s="8">
        <v>1.1473601331377996</v>
      </c>
      <c r="AG19" s="8">
        <v>-0.19551412867540088</v>
      </c>
      <c r="AH19" s="8">
        <v>-0.11569703025920723</v>
      </c>
      <c r="AI19" s="8">
        <v>0.67848844634509631</v>
      </c>
      <c r="AJ19" s="8">
        <v>-0.82696012130996477</v>
      </c>
      <c r="AK19" s="8">
        <v>2.7440624077798573E-2</v>
      </c>
      <c r="AL19" s="8">
        <v>-0.24354302727556537</v>
      </c>
      <c r="AM19" s="8">
        <v>-0.42000153397913781</v>
      </c>
      <c r="AN19" s="8">
        <v>0.64999002981936771</v>
      </c>
      <c r="AO19">
        <v>-80.761965000000004</v>
      </c>
      <c r="AP19">
        <v>25.657874</v>
      </c>
      <c r="AQ19" s="8">
        <v>0.63758745422665475</v>
      </c>
      <c r="AR19" s="8">
        <v>-1.1376990161247853</v>
      </c>
      <c r="AS19" s="8">
        <v>5.0255669169663127E-2</v>
      </c>
      <c r="AT19" s="10">
        <v>1.3862943611198906</v>
      </c>
      <c r="AU19" s="10">
        <v>0.10536051565782635</v>
      </c>
      <c r="AV19" s="10">
        <v>0.4669156735334784</v>
      </c>
      <c r="AW19">
        <v>227</v>
      </c>
      <c r="AX19">
        <v>1.3770353273148623</v>
      </c>
      <c r="AY19">
        <v>1</v>
      </c>
      <c r="AZ19">
        <f t="shared" si="1"/>
        <v>0.69314718055994529</v>
      </c>
      <c r="BA19">
        <v>50</v>
      </c>
      <c r="BB19">
        <v>0</v>
      </c>
      <c r="BC19">
        <f t="shared" si="2"/>
        <v>0</v>
      </c>
      <c r="BD19">
        <v>-0.6144520816748309</v>
      </c>
      <c r="BE19">
        <v>-0.24906618017162291</v>
      </c>
      <c r="BF19">
        <v>-0.1014219533099267</v>
      </c>
      <c r="BG19">
        <v>-0.42198062030754213</v>
      </c>
      <c r="BH19">
        <v>-0.68939867986078118</v>
      </c>
      <c r="BI19">
        <v>-8.5194761900705296E-2</v>
      </c>
      <c r="BJ19">
        <v>-1.0883174173960026</v>
      </c>
      <c r="BK19">
        <v>-1.0883174173960026</v>
      </c>
    </row>
    <row r="20" spans="1:63" x14ac:dyDescent="0.3">
      <c r="A20">
        <v>749</v>
      </c>
      <c r="B20" t="s">
        <v>40</v>
      </c>
      <c r="C20" t="s">
        <v>41</v>
      </c>
      <c r="D20" t="s">
        <v>33</v>
      </c>
      <c r="E20">
        <v>14</v>
      </c>
      <c r="F20">
        <v>25.000000000000004</v>
      </c>
      <c r="G20">
        <v>21.000000000000004</v>
      </c>
      <c r="H20">
        <v>0</v>
      </c>
      <c r="I20">
        <v>0</v>
      </c>
      <c r="J20">
        <v>0</v>
      </c>
      <c r="K20">
        <v>0</v>
      </c>
      <c r="L20">
        <v>0</v>
      </c>
      <c r="M20">
        <v>2.0000000000000004</v>
      </c>
      <c r="N20">
        <v>2.0000000000000004</v>
      </c>
      <c r="O20">
        <v>2.7080502011022101</v>
      </c>
      <c r="P20">
        <v>3.2580965380214821</v>
      </c>
      <c r="Q20">
        <v>3.0910424533583161</v>
      </c>
      <c r="R20">
        <v>0</v>
      </c>
      <c r="S20">
        <v>0</v>
      </c>
      <c r="T20">
        <v>0</v>
      </c>
      <c r="U20">
        <v>0</v>
      </c>
      <c r="V20">
        <v>0</v>
      </c>
      <c r="W20">
        <v>1.0986122886681098</v>
      </c>
      <c r="X20">
        <v>1.0986122886681098</v>
      </c>
      <c r="Y20">
        <v>64</v>
      </c>
      <c r="Z20">
        <f t="shared" si="0"/>
        <v>4.1588830833596715</v>
      </c>
      <c r="AA20" s="6">
        <v>2.3978952727983707</v>
      </c>
      <c r="AB20" s="6">
        <v>0</v>
      </c>
      <c r="AC20" s="6">
        <v>2.4849066497880004</v>
      </c>
      <c r="AD20" s="6">
        <v>1.3862943611198906</v>
      </c>
      <c r="AE20" s="6">
        <v>2.7080502011022101</v>
      </c>
      <c r="AF20" s="8">
        <v>1.6093843478241607</v>
      </c>
      <c r="AG20" s="8">
        <v>0.13400406572138931</v>
      </c>
      <c r="AH20" s="8">
        <v>0.10596358294469331</v>
      </c>
      <c r="AI20" s="8">
        <v>0.67848844634509631</v>
      </c>
      <c r="AJ20" s="8">
        <v>-0.63065687997985753</v>
      </c>
      <c r="AK20" s="8">
        <v>-0.25598448893106202</v>
      </c>
      <c r="AL20" s="8">
        <v>-9.6913876190725529E-2</v>
      </c>
      <c r="AM20" s="8">
        <v>-0.41915744728901877</v>
      </c>
      <c r="AN20" s="8">
        <v>-0.20315661227502987</v>
      </c>
      <c r="AO20">
        <v>-80.668665379999993</v>
      </c>
      <c r="AP20">
        <v>25.673975240000001</v>
      </c>
      <c r="AQ20" s="8">
        <v>0.67417845144908495</v>
      </c>
      <c r="AR20" s="8">
        <v>-0.50023341954124789</v>
      </c>
      <c r="AS20" s="8">
        <v>-0.53288450851299773</v>
      </c>
      <c r="AT20" s="10">
        <v>2.5649493574615367</v>
      </c>
      <c r="AU20" s="10">
        <v>0.18805223150293962</v>
      </c>
      <c r="AV20" s="10">
        <v>0.92322131832657506</v>
      </c>
      <c r="AW20">
        <v>216</v>
      </c>
      <c r="AX20">
        <v>0.77981274933552391</v>
      </c>
      <c r="AY20">
        <v>2</v>
      </c>
      <c r="AZ20">
        <f t="shared" si="1"/>
        <v>1.0986122886681098</v>
      </c>
      <c r="BA20">
        <v>68</v>
      </c>
      <c r="BB20">
        <v>4</v>
      </c>
      <c r="BC20">
        <f t="shared" si="2"/>
        <v>2</v>
      </c>
      <c r="BD20">
        <v>0.16996422018021584</v>
      </c>
      <c r="BE20">
        <v>0.23960155302457742</v>
      </c>
      <c r="BF20">
        <v>0.44312503455882285</v>
      </c>
      <c r="BG20">
        <v>0.48420898462162054</v>
      </c>
      <c r="BH20">
        <v>0.54210389799256276</v>
      </c>
      <c r="BI20">
        <v>0.54143222811001346</v>
      </c>
      <c r="BJ20">
        <v>0.65628954105383486</v>
      </c>
      <c r="BK20">
        <v>0.65628954105383486</v>
      </c>
    </row>
    <row r="21" spans="1:63" x14ac:dyDescent="0.3">
      <c r="A21">
        <v>774</v>
      </c>
      <c r="B21" t="s">
        <v>40</v>
      </c>
      <c r="C21" t="s">
        <v>41</v>
      </c>
      <c r="D21" t="s">
        <v>32</v>
      </c>
      <c r="E21">
        <v>21.000000000000004</v>
      </c>
      <c r="F21">
        <v>29.000000000000004</v>
      </c>
      <c r="G21">
        <v>21.000000000000004</v>
      </c>
      <c r="H21">
        <v>0</v>
      </c>
      <c r="I21">
        <v>0</v>
      </c>
      <c r="J21">
        <v>1</v>
      </c>
      <c r="K21">
        <v>0</v>
      </c>
      <c r="L21">
        <v>0</v>
      </c>
      <c r="M21">
        <v>2.0000000000000004</v>
      </c>
      <c r="N21">
        <v>2.0000000000000004</v>
      </c>
      <c r="O21">
        <v>3.0910424533583161</v>
      </c>
      <c r="P21">
        <v>3.4011973816621555</v>
      </c>
      <c r="Q21">
        <v>3.0910424533583161</v>
      </c>
      <c r="R21">
        <v>0</v>
      </c>
      <c r="S21">
        <v>0</v>
      </c>
      <c r="T21">
        <v>0.69314718055994529</v>
      </c>
      <c r="U21">
        <v>0</v>
      </c>
      <c r="V21">
        <v>0</v>
      </c>
      <c r="W21">
        <v>1.0986122886681098</v>
      </c>
      <c r="X21">
        <v>1.0986122886681098</v>
      </c>
      <c r="Y21">
        <v>76</v>
      </c>
      <c r="Z21">
        <f t="shared" si="0"/>
        <v>4.3307333402863311</v>
      </c>
      <c r="AA21" s="6">
        <v>1.0986122886681098</v>
      </c>
      <c r="AB21" s="6">
        <v>0.69314718055994529</v>
      </c>
      <c r="AC21" s="6">
        <v>1.791759469228055</v>
      </c>
      <c r="AD21" s="6">
        <v>2.6390573296152584</v>
      </c>
      <c r="AE21" s="6">
        <v>2.9444389791664403</v>
      </c>
      <c r="AF21" s="8">
        <v>0.53132784688931545</v>
      </c>
      <c r="AG21" s="8">
        <v>1.7156913988260423</v>
      </c>
      <c r="AH21" s="8">
        <v>0.6513458599316142</v>
      </c>
      <c r="AI21" s="8">
        <v>0.34753904527112145</v>
      </c>
      <c r="AJ21" s="8">
        <v>-1.1125813374452709</v>
      </c>
      <c r="AK21" s="8">
        <v>-0.10970114867270184</v>
      </c>
      <c r="AL21" s="8">
        <v>-0.59797275642896164</v>
      </c>
      <c r="AM21" s="8">
        <v>1.1093740239076826</v>
      </c>
      <c r="AN21" s="8">
        <v>-0.78828902385572752</v>
      </c>
      <c r="AO21">
        <v>-80.748925839999998</v>
      </c>
      <c r="AP21">
        <v>25.586205240000002</v>
      </c>
      <c r="AQ21" s="8">
        <v>-0.35174163317480045</v>
      </c>
      <c r="AR21" s="8">
        <v>0.34972070923680182</v>
      </c>
      <c r="AS21" s="8">
        <v>-0.67069276171123804</v>
      </c>
      <c r="AT21" s="10">
        <v>2.5649493574615367</v>
      </c>
      <c r="AU21" s="10">
        <v>0.17435338714477774</v>
      </c>
      <c r="AV21" s="10">
        <v>0.85588471905603425</v>
      </c>
      <c r="AW21">
        <v>221</v>
      </c>
      <c r="AX21">
        <v>1.0476008332437641</v>
      </c>
      <c r="AY21">
        <v>0</v>
      </c>
      <c r="AZ21">
        <f t="shared" si="1"/>
        <v>0</v>
      </c>
      <c r="BA21">
        <v>80</v>
      </c>
      <c r="BB21">
        <v>5</v>
      </c>
      <c r="BC21">
        <f t="shared" si="2"/>
        <v>2.2360679774997898</v>
      </c>
      <c r="BD21">
        <v>0.7062127767150651</v>
      </c>
      <c r="BE21">
        <v>0.36530918789928774</v>
      </c>
      <c r="BF21">
        <v>-0.63373628439480645</v>
      </c>
      <c r="BG21">
        <v>-0.75642836334874441</v>
      </c>
      <c r="BH21">
        <v>1.198206151159237</v>
      </c>
      <c r="BI21">
        <v>0.89086161092752181</v>
      </c>
      <c r="BJ21">
        <v>0.84456007157381507</v>
      </c>
      <c r="BK21">
        <v>0.84456007157381507</v>
      </c>
    </row>
    <row r="22" spans="1:63" x14ac:dyDescent="0.3">
      <c r="A22">
        <v>804</v>
      </c>
      <c r="B22" t="s">
        <v>40</v>
      </c>
      <c r="C22" t="s">
        <v>41</v>
      </c>
      <c r="D22" t="s">
        <v>33</v>
      </c>
      <c r="E22">
        <v>22</v>
      </c>
      <c r="F22">
        <v>16.999999999999996</v>
      </c>
      <c r="G22">
        <v>26.999999999999996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1</v>
      </c>
      <c r="O22">
        <v>3.1354942159291497</v>
      </c>
      <c r="P22">
        <v>2.8903717578961645</v>
      </c>
      <c r="Q22">
        <v>3.3322045101752038</v>
      </c>
      <c r="R22">
        <v>0</v>
      </c>
      <c r="S22">
        <v>0</v>
      </c>
      <c r="T22">
        <v>0</v>
      </c>
      <c r="U22">
        <v>0</v>
      </c>
      <c r="V22">
        <v>0</v>
      </c>
      <c r="W22">
        <v>1.3862943611198906</v>
      </c>
      <c r="X22">
        <v>0.69314718055994529</v>
      </c>
      <c r="Y22">
        <v>69</v>
      </c>
      <c r="Z22">
        <f t="shared" si="0"/>
        <v>4.2341065045972597</v>
      </c>
      <c r="AA22" s="6">
        <v>2.0794415416798357</v>
      </c>
      <c r="AB22" s="6">
        <v>0.69314718055994529</v>
      </c>
      <c r="AC22" s="6">
        <v>0</v>
      </c>
      <c r="AD22" s="6">
        <v>0</v>
      </c>
      <c r="AE22" s="6">
        <v>0</v>
      </c>
      <c r="AF22" s="8">
        <v>0.14630766798401312</v>
      </c>
      <c r="AG22" s="8">
        <v>0.59532953787692555</v>
      </c>
      <c r="AH22" s="8">
        <v>-0.87398008090672652</v>
      </c>
      <c r="AI22" s="8">
        <v>-3.3813429608265258E-3</v>
      </c>
      <c r="AJ22" s="8">
        <v>-1.4816314311458723</v>
      </c>
      <c r="AK22" s="8">
        <v>0.39340452992725855</v>
      </c>
      <c r="AL22" s="8">
        <v>-0.21878600772279447</v>
      </c>
      <c r="AM22" s="8">
        <v>2.3651066171508099</v>
      </c>
      <c r="AN22" s="8">
        <v>-1.8184555361745625</v>
      </c>
      <c r="AO22">
        <v>-80.92969617</v>
      </c>
      <c r="AP22">
        <v>25.5555278</v>
      </c>
      <c r="AQ22" s="8">
        <v>-0.36088938248040803</v>
      </c>
      <c r="AR22" s="8">
        <v>-1.2173822156977274</v>
      </c>
      <c r="AS22" s="8">
        <v>-1.3847938347188982</v>
      </c>
      <c r="AT22" s="10">
        <v>2.5649493574615367</v>
      </c>
      <c r="AU22" s="10">
        <v>0.17435338714477774</v>
      </c>
      <c r="AV22" s="10">
        <v>0.85588471905603425</v>
      </c>
      <c r="AW22">
        <v>222</v>
      </c>
      <c r="AX22">
        <v>1.1018937948782495</v>
      </c>
      <c r="AY22">
        <v>0</v>
      </c>
      <c r="AZ22">
        <f t="shared" si="1"/>
        <v>0</v>
      </c>
      <c r="BA22">
        <v>64</v>
      </c>
      <c r="BB22">
        <v>5</v>
      </c>
      <c r="BC22">
        <f t="shared" si="2"/>
        <v>2.2360679774997898</v>
      </c>
      <c r="BD22">
        <v>0.80688272596071697</v>
      </c>
      <c r="BE22">
        <v>0.48447061521150031</v>
      </c>
      <c r="BF22">
        <v>-0.55275993007184687</v>
      </c>
      <c r="BG22">
        <v>-0.88333185900640976</v>
      </c>
      <c r="BH22">
        <v>1.1531452403389852</v>
      </c>
      <c r="BI22">
        <v>0.68979990095097798</v>
      </c>
      <c r="BJ22">
        <v>-2.3157274715214393E-2</v>
      </c>
      <c r="BK22">
        <v>-2.3157274715214393E-2</v>
      </c>
    </row>
    <row r="23" spans="1:63" x14ac:dyDescent="0.3">
      <c r="A23">
        <v>870</v>
      </c>
      <c r="B23" t="s">
        <v>40</v>
      </c>
      <c r="C23" t="s">
        <v>41</v>
      </c>
      <c r="D23" t="s">
        <v>33</v>
      </c>
      <c r="E23">
        <v>20</v>
      </c>
      <c r="F23">
        <v>20</v>
      </c>
      <c r="G23">
        <v>26.999999999999996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3.044522437723423</v>
      </c>
      <c r="P23">
        <v>3.044522437723423</v>
      </c>
      <c r="Q23">
        <v>3.3322045101752038</v>
      </c>
      <c r="R23">
        <v>0</v>
      </c>
      <c r="S23">
        <v>0</v>
      </c>
      <c r="T23">
        <v>0</v>
      </c>
      <c r="U23">
        <v>0</v>
      </c>
      <c r="V23">
        <v>0</v>
      </c>
      <c r="W23">
        <v>1.3862943611198906</v>
      </c>
      <c r="X23">
        <v>0</v>
      </c>
      <c r="Y23">
        <v>70</v>
      </c>
      <c r="Z23">
        <f t="shared" si="0"/>
        <v>4.2484952420493594</v>
      </c>
      <c r="AA23" s="6">
        <v>0.69314718055994529</v>
      </c>
      <c r="AB23" s="6">
        <v>1.3862943611198906</v>
      </c>
      <c r="AC23" s="6">
        <v>2.8332133440562162</v>
      </c>
      <c r="AD23" s="6">
        <v>1.3862943611198906</v>
      </c>
      <c r="AE23" s="6">
        <v>2.9957322735539909</v>
      </c>
      <c r="AF23" s="8">
        <v>0.3003157395461335</v>
      </c>
      <c r="AG23" s="8">
        <v>2.1967879627181938E-3</v>
      </c>
      <c r="AH23" s="8">
        <v>-1.114203714412106</v>
      </c>
      <c r="AI23" s="8">
        <v>-0.327321689618082</v>
      </c>
      <c r="AJ23" s="8">
        <v>-1.4551304935663079</v>
      </c>
      <c r="AK23" s="8">
        <v>0.44741519777046573</v>
      </c>
      <c r="AL23" s="8">
        <v>-0.36130182248740406</v>
      </c>
      <c r="AM23" s="8">
        <v>1.4820582249682062</v>
      </c>
      <c r="AN23" s="8">
        <v>-0.49991619767180473</v>
      </c>
      <c r="AO23">
        <v>-80.879891490000006</v>
      </c>
      <c r="AP23">
        <v>25.48302945</v>
      </c>
      <c r="AQ23" s="8">
        <v>-0.5278358073077456</v>
      </c>
      <c r="AR23" s="8">
        <v>-1.6689203466110663</v>
      </c>
      <c r="AS23" s="8">
        <v>0.71364827198755809</v>
      </c>
      <c r="AT23" s="10">
        <v>1.791759469228055</v>
      </c>
      <c r="AU23" s="10">
        <v>0.10318423623523081</v>
      </c>
      <c r="AV23" s="10">
        <v>0.4528160331338647</v>
      </c>
      <c r="AW23">
        <v>223</v>
      </c>
      <c r="AX23">
        <v>1.1564318714636805</v>
      </c>
      <c r="AY23">
        <v>4</v>
      </c>
      <c r="AZ23">
        <f t="shared" si="1"/>
        <v>1.6094379124341003</v>
      </c>
      <c r="BA23">
        <v>73</v>
      </c>
      <c r="BB23">
        <v>3</v>
      </c>
      <c r="BC23">
        <f t="shared" si="2"/>
        <v>1.7320508075688772</v>
      </c>
      <c r="BD23">
        <v>-0.1574423229657882</v>
      </c>
      <c r="BE23">
        <v>0.10112884193735733</v>
      </c>
      <c r="BF23">
        <v>0.11849388030716251</v>
      </c>
      <c r="BG23">
        <v>0.18463612273254443</v>
      </c>
      <c r="BH23">
        <v>0.24892409549067993</v>
      </c>
      <c r="BI23">
        <v>0.76188947937836637</v>
      </c>
      <c r="BJ23">
        <v>-0.43309874626200701</v>
      </c>
      <c r="BK23">
        <v>-0.43309874626200701</v>
      </c>
    </row>
    <row r="24" spans="1:63" x14ac:dyDescent="0.3">
      <c r="A24">
        <v>878</v>
      </c>
      <c r="B24" t="s">
        <v>40</v>
      </c>
      <c r="C24" t="s">
        <v>41</v>
      </c>
      <c r="D24" t="s">
        <v>33</v>
      </c>
      <c r="E24">
        <v>0</v>
      </c>
      <c r="F24">
        <v>18.999999999999996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2.9957322735539909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0.69314718055994529</v>
      </c>
      <c r="X24">
        <v>0</v>
      </c>
      <c r="Y24">
        <v>20</v>
      </c>
      <c r="Z24">
        <f t="shared" si="0"/>
        <v>2.9957322735539909</v>
      </c>
      <c r="AA24" s="6">
        <v>1.791759469228055</v>
      </c>
      <c r="AB24" s="6">
        <v>0</v>
      </c>
      <c r="AC24" s="6">
        <v>0</v>
      </c>
      <c r="AD24" s="6">
        <v>0.69314718055994529</v>
      </c>
      <c r="AE24" s="6">
        <v>0.69314718055994529</v>
      </c>
      <c r="AF24" s="8">
        <v>-0.62373268982659147</v>
      </c>
      <c r="AG24" s="8">
        <v>0.72713681563567167</v>
      </c>
      <c r="AH24" s="8">
        <v>-0.52011043134079826</v>
      </c>
      <c r="AI24" s="8">
        <v>0.53381183604741522</v>
      </c>
      <c r="AJ24" s="8">
        <v>-0.19878974905362182</v>
      </c>
      <c r="AK24" s="8">
        <v>-0.40357255426401051</v>
      </c>
      <c r="AL24" s="8">
        <v>-1.992208005078429</v>
      </c>
      <c r="AM24" s="8">
        <v>-0.41914023069153844</v>
      </c>
      <c r="AN24" s="8">
        <v>-1.8696123060185705</v>
      </c>
      <c r="AO24">
        <v>-80.820126999999999</v>
      </c>
      <c r="AP24">
        <v>25.335813000000002</v>
      </c>
      <c r="AQ24" s="8">
        <v>-0.7656772892535415</v>
      </c>
      <c r="AR24" s="8">
        <v>-1.6689203466110663</v>
      </c>
      <c r="AS24" s="8">
        <v>-1.3417952623302829</v>
      </c>
      <c r="AT24" s="10">
        <v>1.791759469228055</v>
      </c>
      <c r="AU24" s="10">
        <v>0.10318423623523081</v>
      </c>
      <c r="AV24" s="10">
        <v>0.4528160331338647</v>
      </c>
      <c r="AW24">
        <v>203</v>
      </c>
      <c r="AX24">
        <v>0.11224218043475288</v>
      </c>
      <c r="AY24">
        <v>0</v>
      </c>
      <c r="AZ24">
        <f t="shared" si="1"/>
        <v>0</v>
      </c>
      <c r="BA24">
        <v>8</v>
      </c>
      <c r="BB24">
        <v>1</v>
      </c>
      <c r="BC24">
        <f t="shared" si="2"/>
        <v>1</v>
      </c>
      <c r="BD24">
        <v>-0.31595212282295559</v>
      </c>
      <c r="BE24">
        <v>-0.73048576313564939</v>
      </c>
      <c r="BF24">
        <v>-0.35270794560571239</v>
      </c>
      <c r="BG24">
        <v>-0.57487679586613816</v>
      </c>
      <c r="BH24">
        <v>-0.72610232455310908</v>
      </c>
      <c r="BI24">
        <v>-1.0911513452509818</v>
      </c>
      <c r="BJ24">
        <v>0.87680584654294502</v>
      </c>
      <c r="BK24">
        <v>0.87680584654294502</v>
      </c>
    </row>
    <row r="25" spans="1:63" x14ac:dyDescent="0.3">
      <c r="A25">
        <v>933</v>
      </c>
      <c r="B25" t="s">
        <v>40</v>
      </c>
      <c r="C25" t="s">
        <v>42</v>
      </c>
      <c r="D25" t="s">
        <v>32</v>
      </c>
      <c r="E25">
        <v>0</v>
      </c>
      <c r="F25">
        <v>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2.5649493574615367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12</v>
      </c>
      <c r="Z25">
        <f t="shared" si="0"/>
        <v>2.4849066497880004</v>
      </c>
      <c r="AA25" s="6">
        <v>0.69314718055994529</v>
      </c>
      <c r="AB25" s="6">
        <v>0.69314718055994529</v>
      </c>
      <c r="AC25" s="6">
        <v>0</v>
      </c>
      <c r="AD25" s="6">
        <v>1.791759469228055</v>
      </c>
      <c r="AE25" s="6">
        <v>1.791759469228055</v>
      </c>
      <c r="AF25" s="8">
        <v>-1.0857569045129554</v>
      </c>
      <c r="AG25" s="8">
        <v>-0.19551412867540088</v>
      </c>
      <c r="AH25" s="8">
        <v>0.24544881778779226</v>
      </c>
      <c r="AI25" s="8">
        <v>0.3021234589974266</v>
      </c>
      <c r="AJ25" s="8">
        <v>-0.56783984275422317</v>
      </c>
      <c r="AK25" s="8">
        <v>-0.8214586036267103</v>
      </c>
      <c r="AL25" s="8">
        <v>-2.4180361244133666</v>
      </c>
      <c r="AM25" s="8">
        <v>-0.92989612518956266</v>
      </c>
      <c r="AN25" s="8">
        <v>-1.9930406574948438</v>
      </c>
      <c r="AO25">
        <v>-80.675165000000007</v>
      </c>
      <c r="AP25">
        <v>25.329737999999999</v>
      </c>
      <c r="AQ25" s="8">
        <v>-0.36912235685545486</v>
      </c>
      <c r="AR25" s="8">
        <v>-1.1642600826490992</v>
      </c>
      <c r="AS25" s="8">
        <v>-1.8934783490731342</v>
      </c>
      <c r="AT25" s="10">
        <v>3.3322045101752038</v>
      </c>
      <c r="AU25" s="10">
        <v>0.47000362924573563</v>
      </c>
      <c r="AV25" s="10">
        <v>1.9772724139518267</v>
      </c>
      <c r="AW25">
        <v>214</v>
      </c>
      <c r="AX25">
        <v>0.67441332042884805</v>
      </c>
      <c r="AY25">
        <v>0</v>
      </c>
      <c r="AZ25">
        <f t="shared" si="1"/>
        <v>0</v>
      </c>
      <c r="BA25">
        <v>13</v>
      </c>
      <c r="BB25">
        <v>0</v>
      </c>
      <c r="BC25">
        <f t="shared" si="2"/>
        <v>0</v>
      </c>
      <c r="BD25">
        <v>-0.5066725461242565</v>
      </c>
      <c r="BE25">
        <v>-5.2811829397864329E-2</v>
      </c>
      <c r="BF25">
        <v>-0.2744966301039522</v>
      </c>
      <c r="BG25">
        <v>0.10870665548877279</v>
      </c>
      <c r="BH25">
        <v>-0.44121630763375541</v>
      </c>
      <c r="BI25">
        <v>-0.15983991493170557</v>
      </c>
      <c r="BJ25">
        <v>-0.48973593870889265</v>
      </c>
      <c r="BK25">
        <v>-0.48973593870889265</v>
      </c>
    </row>
    <row r="26" spans="1:63" x14ac:dyDescent="0.3">
      <c r="A26">
        <v>962</v>
      </c>
      <c r="B26">
        <v>2</v>
      </c>
      <c r="C26" t="s">
        <v>34</v>
      </c>
      <c r="D26" t="s">
        <v>33</v>
      </c>
      <c r="E26">
        <v>17.999999999999996</v>
      </c>
      <c r="F26">
        <v>30</v>
      </c>
      <c r="G26">
        <v>26</v>
      </c>
      <c r="H26">
        <v>2.0000000000000004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2.9444389791664403</v>
      </c>
      <c r="P26">
        <v>3.4339872044851463</v>
      </c>
      <c r="Q26">
        <v>3.2958368660043291</v>
      </c>
      <c r="R26">
        <v>1.0986122886681098</v>
      </c>
      <c r="S26">
        <v>0</v>
      </c>
      <c r="T26">
        <v>0</v>
      </c>
      <c r="U26">
        <v>0</v>
      </c>
      <c r="V26">
        <v>0</v>
      </c>
      <c r="W26">
        <v>0</v>
      </c>
      <c r="X26">
        <v>1.3862943611198906</v>
      </c>
      <c r="Y26">
        <v>79</v>
      </c>
      <c r="Z26">
        <f t="shared" si="0"/>
        <v>4.3694478524670215</v>
      </c>
      <c r="AA26" s="6">
        <v>1.791759469228055</v>
      </c>
      <c r="AB26" s="6">
        <v>2.4849066497880004</v>
      </c>
      <c r="AC26" s="6">
        <v>1.9459101490553132</v>
      </c>
      <c r="AD26" s="6">
        <v>0</v>
      </c>
      <c r="AE26" s="6">
        <v>1.9459101490553132</v>
      </c>
      <c r="AF26" s="8">
        <v>-0.85474479716977336</v>
      </c>
      <c r="AG26" s="8">
        <v>-2.1726232950561419</v>
      </c>
      <c r="AH26" s="8">
        <v>-1.0754542402127982</v>
      </c>
      <c r="AI26" s="8">
        <v>0.82757111538337258</v>
      </c>
      <c r="AJ26" s="8">
        <v>1.0938670951051344</v>
      </c>
      <c r="AK26" s="8">
        <v>1.1340949995661698</v>
      </c>
      <c r="AL26" s="8">
        <v>6.5960118118982322E-2</v>
      </c>
      <c r="AM26" s="8">
        <v>-1.1869918699186992</v>
      </c>
      <c r="AN26" s="8">
        <v>0.72853637220928635</v>
      </c>
      <c r="AO26">
        <v>-80.341090010000002</v>
      </c>
      <c r="AP26">
        <v>26.421530000000001</v>
      </c>
      <c r="AQ26" s="8">
        <v>1.739891245552363</v>
      </c>
      <c r="AR26" s="8">
        <v>1.0934305719175954</v>
      </c>
      <c r="AS26" s="8">
        <v>0.17600090996217535</v>
      </c>
      <c r="AT26" s="10">
        <v>0</v>
      </c>
      <c r="AU26" s="10">
        <v>0</v>
      </c>
      <c r="AV26" s="10">
        <v>-0.89121338912133896</v>
      </c>
      <c r="AW26">
        <v>173</v>
      </c>
      <c r="AX26">
        <v>-1.2702061428993203</v>
      </c>
      <c r="AY26">
        <v>1</v>
      </c>
      <c r="AZ26">
        <f t="shared" si="1"/>
        <v>0.69314718055994529</v>
      </c>
      <c r="BA26">
        <v>75</v>
      </c>
      <c r="BB26">
        <v>3</v>
      </c>
      <c r="BC26">
        <f t="shared" si="2"/>
        <v>1.7320508075688772</v>
      </c>
      <c r="BD26">
        <v>-0.20160009404863036</v>
      </c>
      <c r="BE26">
        <v>-1.6666064409505049E-2</v>
      </c>
      <c r="BF26">
        <v>-8.1018455587356986E-2</v>
      </c>
      <c r="BG26">
        <v>-0.16114483399638746</v>
      </c>
      <c r="BH26">
        <v>0.22995348083706749</v>
      </c>
      <c r="BI26">
        <v>9.30213234878976E-2</v>
      </c>
      <c r="BJ26">
        <v>-8.753099893832253E-2</v>
      </c>
      <c r="BK26">
        <v>-8.753099893832253E-2</v>
      </c>
    </row>
    <row r="27" spans="1:63" x14ac:dyDescent="0.3">
      <c r="A27">
        <v>979</v>
      </c>
      <c r="B27" t="s">
        <v>40</v>
      </c>
      <c r="C27" t="s">
        <v>43</v>
      </c>
      <c r="D27" t="s">
        <v>33</v>
      </c>
      <c r="E27">
        <v>0</v>
      </c>
      <c r="F27">
        <v>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2.5649493574615367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</v>
      </c>
      <c r="Z27">
        <f t="shared" si="0"/>
        <v>2.4849066497880004</v>
      </c>
      <c r="AA27" s="6">
        <v>1.6094379124341003</v>
      </c>
      <c r="AB27" s="6">
        <v>1.0986122886681098</v>
      </c>
      <c r="AC27" s="6">
        <v>0.69314718055994529</v>
      </c>
      <c r="AD27" s="6">
        <v>1.6094379124341003</v>
      </c>
      <c r="AE27" s="6">
        <v>1.791759469228055</v>
      </c>
      <c r="AF27" s="8">
        <v>-0.16170847514022763</v>
      </c>
      <c r="AG27" s="8">
        <v>0.26581134348013535</v>
      </c>
      <c r="AH27" s="8">
        <v>0.39589739543706221</v>
      </c>
      <c r="AI27" s="8">
        <v>3.8963869008167874E-2</v>
      </c>
      <c r="AJ27" s="8">
        <v>-0.11045329045507335</v>
      </c>
      <c r="AK27" s="8">
        <v>0.58119321461790951</v>
      </c>
      <c r="AL27" s="8">
        <v>-0.80925248295874286</v>
      </c>
      <c r="AM27" s="8">
        <v>-0.41915744728901877</v>
      </c>
      <c r="AN27" s="8">
        <v>-1.9800198334094576</v>
      </c>
      <c r="AO27">
        <v>-80.635978170000001</v>
      </c>
      <c r="AP27">
        <v>25.333635780000002</v>
      </c>
      <c r="AQ27" s="8">
        <v>-1.0355358937689638</v>
      </c>
      <c r="AR27" s="8">
        <v>-0.97833261697890084</v>
      </c>
      <c r="AS27" s="8">
        <v>-2.0031001436367237</v>
      </c>
      <c r="AT27" s="10">
        <v>3.3322045101752038</v>
      </c>
      <c r="AU27" s="10">
        <v>0.47000362924573563</v>
      </c>
      <c r="AV27" s="10">
        <v>1.9772724139518267</v>
      </c>
      <c r="AW27">
        <v>213</v>
      </c>
      <c r="AX27">
        <v>0.62208127840192884</v>
      </c>
      <c r="AY27">
        <v>0</v>
      </c>
      <c r="AZ27">
        <f t="shared" si="1"/>
        <v>0</v>
      </c>
      <c r="BA27">
        <v>12</v>
      </c>
      <c r="BB27">
        <v>0</v>
      </c>
      <c r="BC27">
        <f t="shared" si="2"/>
        <v>0</v>
      </c>
      <c r="BD27">
        <v>-1.0352486459041976</v>
      </c>
      <c r="BE27">
        <v>-0.36405429295697189</v>
      </c>
      <c r="BF27">
        <v>-0.34517457806498741</v>
      </c>
      <c r="BG27">
        <v>5.1987481017031323E-2</v>
      </c>
      <c r="BH27">
        <v>-0.55625772847547861</v>
      </c>
      <c r="BI27">
        <v>-0.5959340211365789</v>
      </c>
      <c r="BJ27">
        <v>-0.4007292073101334</v>
      </c>
      <c r="BK27">
        <v>-0.4007292073101334</v>
      </c>
    </row>
    <row r="28" spans="1:63" x14ac:dyDescent="0.3">
      <c r="A28">
        <v>993</v>
      </c>
      <c r="B28">
        <v>3</v>
      </c>
      <c r="C28" t="s">
        <v>39</v>
      </c>
      <c r="D28" t="s">
        <v>33</v>
      </c>
      <c r="E28">
        <v>16.999999999999996</v>
      </c>
      <c r="F28">
        <v>26</v>
      </c>
      <c r="G28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2.8903717578961645</v>
      </c>
      <c r="P28">
        <v>3.2958368660043291</v>
      </c>
      <c r="Q28">
        <v>3.2958368660043291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69</v>
      </c>
      <c r="Z28">
        <f t="shared" si="0"/>
        <v>4.2341065045972597</v>
      </c>
      <c r="AA28" s="6">
        <v>1.0986122886681098</v>
      </c>
      <c r="AB28" s="6">
        <v>0.69314718055994529</v>
      </c>
      <c r="AC28" s="6">
        <v>0</v>
      </c>
      <c r="AD28" s="6">
        <v>1.6094379124341003</v>
      </c>
      <c r="AE28" s="6">
        <v>1.6094379124341003</v>
      </c>
      <c r="AF28" s="8">
        <v>0.8393439900135562</v>
      </c>
      <c r="AG28" s="8">
        <v>0.52942589899755255</v>
      </c>
      <c r="AH28" s="8">
        <v>1.0860215246415812</v>
      </c>
      <c r="AI28" s="8">
        <v>0.72768656362626172</v>
      </c>
      <c r="AJ28" s="8">
        <v>0.78174494139026396</v>
      </c>
      <c r="AK28" s="8">
        <v>-0.74069808616761867</v>
      </c>
      <c r="AL28" s="8">
        <v>0.29649608272358835</v>
      </c>
      <c r="AM28" s="8">
        <v>0.9594111841372498</v>
      </c>
      <c r="AN28" s="8">
        <v>-0.12093955423483693</v>
      </c>
      <c r="AO28">
        <v>-80.590840999999998</v>
      </c>
      <c r="AP28">
        <v>26.011372000000001</v>
      </c>
      <c r="AQ28" s="8">
        <v>-0.7209905338956486</v>
      </c>
      <c r="AR28" s="8">
        <v>0.34972070923680182</v>
      </c>
      <c r="AS28" s="8">
        <v>0.90639284645689489</v>
      </c>
      <c r="AT28" s="10">
        <v>1.9459101490553132</v>
      </c>
      <c r="AU28" s="10">
        <v>0.10536051565782635</v>
      </c>
      <c r="AV28" s="10">
        <v>0.4669156735334784</v>
      </c>
      <c r="AW28">
        <v>217</v>
      </c>
      <c r="AX28">
        <v>0.83288013621528034</v>
      </c>
      <c r="AY28">
        <v>0</v>
      </c>
      <c r="AZ28">
        <f t="shared" si="1"/>
        <v>0</v>
      </c>
      <c r="BA28">
        <v>69</v>
      </c>
      <c r="BB28">
        <v>0</v>
      </c>
      <c r="BC28">
        <f t="shared" si="2"/>
        <v>0</v>
      </c>
      <c r="BD28">
        <v>0.44435168217937659</v>
      </c>
      <c r="BE28">
        <v>-2.8042619096853683E-2</v>
      </c>
      <c r="BF28">
        <v>-0.96936890870995152</v>
      </c>
      <c r="BG28">
        <v>-0.80582128220037252</v>
      </c>
      <c r="BH28">
        <v>0.24503858360645495</v>
      </c>
      <c r="BI28">
        <v>0.32419281248445619</v>
      </c>
      <c r="BJ28">
        <v>-0.27520536464553924</v>
      </c>
      <c r="BK28">
        <v>-0.27520536464553924</v>
      </c>
    </row>
    <row r="29" spans="1:63" x14ac:dyDescent="0.3">
      <c r="A29">
        <v>1511</v>
      </c>
      <c r="B29">
        <v>1</v>
      </c>
      <c r="C29" t="s">
        <v>31</v>
      </c>
      <c r="D29" t="s">
        <v>33</v>
      </c>
      <c r="E29">
        <v>30</v>
      </c>
      <c r="F29">
        <v>42</v>
      </c>
      <c r="G29">
        <v>32</v>
      </c>
      <c r="H29">
        <v>14</v>
      </c>
      <c r="I29">
        <v>1</v>
      </c>
      <c r="J29">
        <v>0</v>
      </c>
      <c r="K29">
        <v>0</v>
      </c>
      <c r="L29">
        <v>0</v>
      </c>
      <c r="M29">
        <v>3.9999999999999991</v>
      </c>
      <c r="N29">
        <v>1</v>
      </c>
      <c r="O29">
        <v>3.4339872044851463</v>
      </c>
      <c r="P29">
        <v>3.7612001156935624</v>
      </c>
      <c r="Q29">
        <v>3.4965075614664802</v>
      </c>
      <c r="R29">
        <v>2.7080502011022101</v>
      </c>
      <c r="S29">
        <v>0.69314718055994529</v>
      </c>
      <c r="T29">
        <v>0</v>
      </c>
      <c r="U29">
        <v>0</v>
      </c>
      <c r="V29">
        <v>0</v>
      </c>
      <c r="W29">
        <v>1.6094379124341003</v>
      </c>
      <c r="X29">
        <v>0.69314718055994529</v>
      </c>
      <c r="Y29">
        <v>124</v>
      </c>
      <c r="Z29">
        <f t="shared" si="0"/>
        <v>4.8202815656050371</v>
      </c>
      <c r="AA29" s="6">
        <v>2.0794415416798357</v>
      </c>
      <c r="AB29" s="6">
        <v>1.9459101490553132</v>
      </c>
      <c r="AC29" s="6">
        <v>1.0986122886681098</v>
      </c>
      <c r="AD29" s="6">
        <v>1.9459101490553132</v>
      </c>
      <c r="AE29" s="6">
        <v>2.1972245773362196</v>
      </c>
      <c r="AF29" s="8">
        <v>0.37731977532719502</v>
      </c>
      <c r="AG29" s="8">
        <v>0.72713681563567167</v>
      </c>
      <c r="AH29" s="8">
        <v>1.7874158327697038</v>
      </c>
      <c r="AI29" s="8">
        <v>-0.62635631887154797</v>
      </c>
      <c r="AJ29" s="8">
        <v>0.75524400381069956</v>
      </c>
      <c r="AK29" s="8">
        <v>-1.4073741096325931</v>
      </c>
      <c r="AL29" s="8">
        <v>-1.4494169327224569</v>
      </c>
      <c r="AM29" s="8">
        <v>-3.880676421975035E-2</v>
      </c>
      <c r="AN29" s="8">
        <v>1.8970929659762565</v>
      </c>
      <c r="AO29">
        <v>-80.366011999999998</v>
      </c>
      <c r="AP29">
        <v>26.631402999999999</v>
      </c>
      <c r="AQ29" s="8">
        <v>-0.24882945348671567</v>
      </c>
      <c r="AR29" s="8">
        <v>1.0934305719175954</v>
      </c>
      <c r="AS29" s="8">
        <v>-0.21841628963791751</v>
      </c>
      <c r="AT29" s="10">
        <v>0</v>
      </c>
      <c r="AU29" s="10">
        <v>0</v>
      </c>
      <c r="AV29" s="10">
        <v>-0.89121338912133896</v>
      </c>
      <c r="AW29">
        <v>208</v>
      </c>
      <c r="AX29">
        <v>0.36409779253151886</v>
      </c>
      <c r="AY29">
        <v>1</v>
      </c>
      <c r="AZ29">
        <f t="shared" si="1"/>
        <v>0.69314718055994529</v>
      </c>
      <c r="BA29">
        <v>117</v>
      </c>
      <c r="BB29">
        <v>6</v>
      </c>
      <c r="BC29">
        <f t="shared" si="2"/>
        <v>2.4494897427831779</v>
      </c>
      <c r="BD29">
        <v>0.55230796584074904</v>
      </c>
      <c r="BE29">
        <v>0.19050746607477076</v>
      </c>
      <c r="BF29">
        <v>-0.53667874838703233</v>
      </c>
      <c r="BG29">
        <v>-1.2692809162303211</v>
      </c>
      <c r="BH29">
        <v>0.76388656110536868</v>
      </c>
      <c r="BI29">
        <v>0.78290573193937285</v>
      </c>
      <c r="BJ29">
        <v>9.1273990332263577E-2</v>
      </c>
      <c r="BK29">
        <v>9.1273990332263577E-2</v>
      </c>
    </row>
    <row r="30" spans="1:63" x14ac:dyDescent="0.3">
      <c r="A30">
        <v>3991</v>
      </c>
      <c r="B30">
        <v>3</v>
      </c>
      <c r="C30" t="s">
        <v>38</v>
      </c>
      <c r="D30" t="s">
        <v>32</v>
      </c>
      <c r="E30">
        <v>28.000000000000004</v>
      </c>
      <c r="F30">
        <v>23.000000000000004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3.9999999999999991</v>
      </c>
      <c r="O30">
        <v>3.3672958299864741</v>
      </c>
      <c r="P30">
        <v>3.1780538303479458</v>
      </c>
      <c r="Q30">
        <v>3.4339872044851463</v>
      </c>
      <c r="R30">
        <v>0</v>
      </c>
      <c r="S30">
        <v>0</v>
      </c>
      <c r="T30">
        <v>0</v>
      </c>
      <c r="U30">
        <v>0</v>
      </c>
      <c r="V30">
        <v>0</v>
      </c>
      <c r="W30">
        <v>0.69314718055994529</v>
      </c>
      <c r="X30">
        <v>1.6094379124341003</v>
      </c>
      <c r="Y30">
        <v>86</v>
      </c>
      <c r="Z30">
        <f t="shared" si="0"/>
        <v>4.4543472962535073</v>
      </c>
      <c r="AA30" s="6">
        <v>1.6094379124341003</v>
      </c>
      <c r="AB30" s="6">
        <v>3.0910424533583161</v>
      </c>
      <c r="AC30" s="6">
        <v>1.3862943611198906</v>
      </c>
      <c r="AD30" s="6">
        <v>2.0794415416798357</v>
      </c>
      <c r="AE30" s="6">
        <v>2.3978952727983707</v>
      </c>
      <c r="AF30" s="8">
        <v>0.3003157395461335</v>
      </c>
      <c r="AG30" s="8">
        <v>-0.19551412867540088</v>
      </c>
      <c r="AH30" s="8">
        <v>0.45324846443095745</v>
      </c>
      <c r="AI30" s="8">
        <v>-0.28823213225829608</v>
      </c>
      <c r="AJ30" s="8">
        <v>-0.79849615131709928</v>
      </c>
      <c r="AK30" s="8">
        <v>-2.1715211753720192E-2</v>
      </c>
      <c r="AL30" s="8">
        <v>0.71634852827381601</v>
      </c>
      <c r="AM30" s="8">
        <v>1.6851254849846657</v>
      </c>
      <c r="AN30" s="8">
        <v>0.63272847360138484</v>
      </c>
      <c r="AO30">
        <v>-80.708371</v>
      </c>
      <c r="AP30">
        <v>25.975117999999998</v>
      </c>
      <c r="AQ30" s="8">
        <v>-0.95595047481017814</v>
      </c>
      <c r="AR30" s="8">
        <v>0.24347644313954561</v>
      </c>
      <c r="AS30" s="8">
        <v>-4.7328622439705446E-2</v>
      </c>
      <c r="AT30" s="10">
        <v>0</v>
      </c>
      <c r="AU30" s="10">
        <v>0</v>
      </c>
      <c r="AV30" s="10">
        <v>-0.89121338912133896</v>
      </c>
      <c r="AW30">
        <v>187</v>
      </c>
      <c r="AX30">
        <v>-0.65251646651601103</v>
      </c>
      <c r="AY30">
        <v>8</v>
      </c>
      <c r="AZ30">
        <f t="shared" si="1"/>
        <v>2.1972245773362196</v>
      </c>
      <c r="BA30">
        <v>78</v>
      </c>
      <c r="BB30">
        <v>6</v>
      </c>
      <c r="BC30">
        <f t="shared" si="2"/>
        <v>2.4494897427831779</v>
      </c>
      <c r="BD30">
        <v>-0.15686922152482868</v>
      </c>
      <c r="BE30">
        <v>-0.40587570303805026</v>
      </c>
      <c r="BF30">
        <v>0.89739064547912739</v>
      </c>
      <c r="BG30">
        <v>0.60403517868258305</v>
      </c>
      <c r="BH30">
        <v>3.7115841302833019E-2</v>
      </c>
      <c r="BI30">
        <v>-0.29563302157904942</v>
      </c>
      <c r="BJ30">
        <v>0.56994266006340366</v>
      </c>
      <c r="BK30">
        <v>0.56994266006340366</v>
      </c>
    </row>
    <row r="31" spans="1:63" x14ac:dyDescent="0.3">
      <c r="A31">
        <v>4321</v>
      </c>
      <c r="B31">
        <v>3</v>
      </c>
      <c r="C31" t="s">
        <v>38</v>
      </c>
      <c r="D31" t="s">
        <v>32</v>
      </c>
      <c r="E31">
        <v>41.000000000000007</v>
      </c>
      <c r="F31">
        <v>23.000000000000004</v>
      </c>
      <c r="G31">
        <v>28.000000000000004</v>
      </c>
      <c r="H31">
        <v>0</v>
      </c>
      <c r="I31">
        <v>0</v>
      </c>
      <c r="J31">
        <v>0</v>
      </c>
      <c r="K31">
        <v>0</v>
      </c>
      <c r="L31">
        <v>0</v>
      </c>
      <c r="M31">
        <v>6.9999999999999982</v>
      </c>
      <c r="N31">
        <v>1</v>
      </c>
      <c r="O31">
        <v>3.7376696182833684</v>
      </c>
      <c r="P31">
        <v>3.1780538303479458</v>
      </c>
      <c r="Q31">
        <v>3.3672958299864741</v>
      </c>
      <c r="R31">
        <v>0</v>
      </c>
      <c r="S31">
        <v>0</v>
      </c>
      <c r="T31">
        <v>0</v>
      </c>
      <c r="U31">
        <v>0</v>
      </c>
      <c r="V31">
        <v>0</v>
      </c>
      <c r="W31">
        <v>2.0794415416798357</v>
      </c>
      <c r="X31">
        <v>0.69314718055994529</v>
      </c>
      <c r="Y31">
        <v>100</v>
      </c>
      <c r="Z31">
        <f t="shared" si="0"/>
        <v>4.6051701859880918</v>
      </c>
      <c r="AA31" s="6">
        <v>1.6094379124341003</v>
      </c>
      <c r="AB31" s="6">
        <v>3.0910424533583161</v>
      </c>
      <c r="AC31" s="6">
        <v>1.3862943611198906</v>
      </c>
      <c r="AD31" s="6">
        <v>1.0986122886681098</v>
      </c>
      <c r="AE31" s="6">
        <v>1.791759469228055</v>
      </c>
      <c r="AF31" s="8">
        <v>-0.31571654670235072</v>
      </c>
      <c r="AG31" s="8">
        <v>0.85894409339434274</v>
      </c>
      <c r="AH31" s="8">
        <v>-0.9270824735741926</v>
      </c>
      <c r="AI31" s="8">
        <v>-0.69745117851470528</v>
      </c>
      <c r="AJ31" s="8">
        <v>-0.45594699519606219</v>
      </c>
      <c r="AK31" s="8">
        <v>0.82779846389868295</v>
      </c>
      <c r="AL31" s="8">
        <v>0.16557802905312483</v>
      </c>
      <c r="AM31" s="8">
        <v>-0.42000153397913781</v>
      </c>
      <c r="AN31" s="8">
        <v>2.014583487204295E-2</v>
      </c>
      <c r="AO31">
        <v>-80.683353999999994</v>
      </c>
      <c r="AP31">
        <v>26.131142000000001</v>
      </c>
      <c r="AQ31" s="8">
        <v>-0.18113610862521984</v>
      </c>
      <c r="AR31" s="8">
        <v>-0.26118382082242142</v>
      </c>
      <c r="AS31" s="8">
        <v>1.4190675500374834</v>
      </c>
      <c r="AT31" s="10">
        <v>0</v>
      </c>
      <c r="AU31" s="10">
        <v>0</v>
      </c>
      <c r="AV31" s="10">
        <v>-0.89121338912133896</v>
      </c>
      <c r="AW31">
        <v>180</v>
      </c>
      <c r="AX31">
        <v>-0.9673666210058367</v>
      </c>
      <c r="AY31">
        <v>17</v>
      </c>
      <c r="AZ31">
        <f t="shared" si="1"/>
        <v>2.8903717578961645</v>
      </c>
      <c r="BA31">
        <v>75</v>
      </c>
      <c r="BB31">
        <v>8</v>
      </c>
      <c r="BC31">
        <f t="shared" si="2"/>
        <v>2.8284271247461903</v>
      </c>
      <c r="BD31">
        <v>0.22747215606932791</v>
      </c>
      <c r="BE31">
        <v>0.2305955027576263</v>
      </c>
      <c r="BF31">
        <v>0.90578726169693069</v>
      </c>
      <c r="BG31">
        <v>1.2356410920805161</v>
      </c>
      <c r="BH31">
        <v>-0.22643891907431796</v>
      </c>
      <c r="BI31">
        <v>-0.25754584854591905</v>
      </c>
      <c r="BJ31">
        <v>0.40662604230023414</v>
      </c>
      <c r="BK31">
        <v>0.40662604230023414</v>
      </c>
    </row>
    <row r="32" spans="1:63" x14ac:dyDescent="0.3">
      <c r="AT32" s="8"/>
      <c r="AU32" s="8"/>
      <c r="AV32" s="8"/>
      <c r="AW32" s="8"/>
      <c r="AX32" s="8"/>
    </row>
    <row r="33" spans="49:50" x14ac:dyDescent="0.3">
      <c r="AW33" s="10"/>
      <c r="AX33" s="10"/>
    </row>
  </sheetData>
  <sortState xmlns:xlrd2="http://schemas.microsoft.com/office/spreadsheetml/2017/richdata2" ref="A2:AX33">
    <sortCondition ref="A2:A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C20A-258F-134B-BD1E-BE184714A6D3}">
  <dimension ref="A1:I17"/>
  <sheetViews>
    <sheetView topLeftCell="H1" workbookViewId="0">
      <selection activeCell="I26" sqref="I26"/>
    </sheetView>
  </sheetViews>
  <sheetFormatPr defaultColWidth="11.19921875" defaultRowHeight="15.6" x14ac:dyDescent="0.3"/>
  <cols>
    <col min="2" max="2" width="73.69921875" customWidth="1"/>
    <col min="3" max="3" width="66.296875" customWidth="1"/>
    <col min="4" max="4" width="72.69921875" customWidth="1"/>
    <col min="5" max="5" width="82.19921875" customWidth="1"/>
    <col min="6" max="6" width="59.296875" customWidth="1"/>
    <col min="7" max="7" width="62.296875" customWidth="1"/>
    <col min="8" max="8" width="71.296875" customWidth="1"/>
    <col min="9" max="9" width="65.19921875" customWidth="1"/>
  </cols>
  <sheetData>
    <row r="1" spans="1:9" x14ac:dyDescent="0.3">
      <c r="A1" s="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3">
      <c r="A2" s="1" t="s">
        <v>66</v>
      </c>
    </row>
    <row r="3" spans="1:9" x14ac:dyDescent="0.3">
      <c r="B3" t="s">
        <v>80</v>
      </c>
      <c r="C3" t="s">
        <v>80</v>
      </c>
      <c r="E3" t="s">
        <v>80</v>
      </c>
    </row>
    <row r="4" spans="1:9" x14ac:dyDescent="0.3">
      <c r="D4" t="s">
        <v>80</v>
      </c>
    </row>
    <row r="5" spans="1:9" x14ac:dyDescent="0.3">
      <c r="B5" t="s">
        <v>75</v>
      </c>
      <c r="C5" t="s">
        <v>81</v>
      </c>
      <c r="E5" t="s">
        <v>83</v>
      </c>
    </row>
    <row r="6" spans="1:9" x14ac:dyDescent="0.3">
      <c r="B6" t="s">
        <v>76</v>
      </c>
      <c r="C6" t="s">
        <v>76</v>
      </c>
      <c r="D6" t="s">
        <v>82</v>
      </c>
      <c r="E6" t="s">
        <v>76</v>
      </c>
      <c r="F6" t="s">
        <v>80</v>
      </c>
      <c r="H6" t="s">
        <v>80</v>
      </c>
    </row>
    <row r="7" spans="1:9" x14ac:dyDescent="0.3">
      <c r="D7" t="s">
        <v>76</v>
      </c>
      <c r="G7" t="s">
        <v>80</v>
      </c>
      <c r="I7" t="s">
        <v>80</v>
      </c>
    </row>
    <row r="8" spans="1:9" x14ac:dyDescent="0.3">
      <c r="B8" t="s">
        <v>88</v>
      </c>
      <c r="C8" t="s">
        <v>90</v>
      </c>
      <c r="E8" t="s">
        <v>94</v>
      </c>
      <c r="F8" t="s">
        <v>84</v>
      </c>
      <c r="H8" t="s">
        <v>86</v>
      </c>
    </row>
    <row r="9" spans="1:9" x14ac:dyDescent="0.3">
      <c r="B9" t="s">
        <v>77</v>
      </c>
      <c r="C9">
        <v>0.93110000000000004</v>
      </c>
      <c r="D9" t="s">
        <v>92</v>
      </c>
      <c r="E9">
        <v>0.40489999999999998</v>
      </c>
      <c r="F9" t="s">
        <v>76</v>
      </c>
      <c r="G9" t="s">
        <v>85</v>
      </c>
      <c r="H9" t="s">
        <v>76</v>
      </c>
      <c r="I9" t="s">
        <v>87</v>
      </c>
    </row>
    <row r="10" spans="1:9" x14ac:dyDescent="0.3">
      <c r="B10" t="s">
        <v>78</v>
      </c>
      <c r="C10" t="s">
        <v>77</v>
      </c>
      <c r="D10">
        <v>0.57140000000000002</v>
      </c>
      <c r="E10" t="s">
        <v>77</v>
      </c>
      <c r="G10" t="s">
        <v>76</v>
      </c>
      <c r="I10" t="s">
        <v>76</v>
      </c>
    </row>
    <row r="11" spans="1:9" x14ac:dyDescent="0.3">
      <c r="B11" t="s">
        <v>79</v>
      </c>
      <c r="C11" t="s">
        <v>78</v>
      </c>
      <c r="D11" t="s">
        <v>77</v>
      </c>
      <c r="E11" t="s">
        <v>78</v>
      </c>
      <c r="F11" t="s">
        <v>96</v>
      </c>
      <c r="H11" t="s">
        <v>100</v>
      </c>
    </row>
    <row r="12" spans="1:9" x14ac:dyDescent="0.3">
      <c r="B12" t="s">
        <v>89</v>
      </c>
      <c r="C12" t="s">
        <v>79</v>
      </c>
      <c r="D12" t="s">
        <v>78</v>
      </c>
      <c r="E12" t="s">
        <v>79</v>
      </c>
      <c r="F12">
        <v>0.85409999999999997</v>
      </c>
      <c r="G12" t="s">
        <v>98</v>
      </c>
      <c r="H12">
        <v>0.80940000000000001</v>
      </c>
      <c r="I12" t="s">
        <v>100</v>
      </c>
    </row>
    <row r="13" spans="1:9" x14ac:dyDescent="0.3">
      <c r="C13" t="s">
        <v>91</v>
      </c>
      <c r="D13" t="s">
        <v>79</v>
      </c>
      <c r="E13" t="s">
        <v>95</v>
      </c>
      <c r="F13" t="s">
        <v>77</v>
      </c>
      <c r="G13">
        <v>0.93179999999999996</v>
      </c>
      <c r="H13" t="s">
        <v>77</v>
      </c>
      <c r="I13">
        <v>0.80940000000000001</v>
      </c>
    </row>
    <row r="14" spans="1:9" x14ac:dyDescent="0.3">
      <c r="D14" t="s">
        <v>93</v>
      </c>
      <c r="F14" t="s">
        <v>78</v>
      </c>
      <c r="G14" t="s">
        <v>77</v>
      </c>
      <c r="H14" t="s">
        <v>78</v>
      </c>
      <c r="I14" t="s">
        <v>77</v>
      </c>
    </row>
    <row r="15" spans="1:9" x14ac:dyDescent="0.3">
      <c r="F15" t="s">
        <v>79</v>
      </c>
      <c r="G15" t="s">
        <v>78</v>
      </c>
      <c r="H15" t="s">
        <v>79</v>
      </c>
      <c r="I15" t="s">
        <v>78</v>
      </c>
    </row>
    <row r="16" spans="1:9" x14ac:dyDescent="0.3">
      <c r="F16" t="s">
        <v>97</v>
      </c>
      <c r="G16" t="s">
        <v>79</v>
      </c>
      <c r="H16" t="s">
        <v>101</v>
      </c>
      <c r="I16" t="s">
        <v>79</v>
      </c>
    </row>
    <row r="17" spans="7:9" x14ac:dyDescent="0.3">
      <c r="G17" t="s">
        <v>99</v>
      </c>
      <c r="I1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Standardized Variables </vt:lpstr>
      <vt:lpstr>Spatial_Autocorrelation_Results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Howell, Hunter</cp:lastModifiedBy>
  <dcterms:created xsi:type="dcterms:W3CDTF">2022-12-19T15:55:53Z</dcterms:created>
  <dcterms:modified xsi:type="dcterms:W3CDTF">2026-01-29T19:00:44Z</dcterms:modified>
</cp:coreProperties>
</file>